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195c81d00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ểm thử tóm tắt" sheetId="1" r:id="R8de6b9b3eba6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1F1F"/>
      <x:name val="Arial"/>
    </x:font>
    <x:font>
      <x:b/>
      <x:sz val="15"/>
      <x:color rgb="FFFFFFFF"/>
      <x:name val="Arial"/>
    </x:font>
    <x:font>
      <x:b/>
      <x:sz val="11"/>
      <x:color rgb="FF1F1F1F"/>
      <x:name val="Arial"/>
    </x:font>
    <x:font>
      <x:i/>
      <x:sz val="10"/>
      <x:color rgb="FF404040"/>
      <x:name val="Arial"/>
    </x:font>
    <x:font>
      <x:b/>
      <x:sz val="10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2F3"/>
      </x:patternFill>
    </x:fill>
    <x:fill>
      <x:patternFill patternType="solid">
        <x:fgColor rgb="FFF2F2F2"/>
      </x:patternFill>
    </x:fill>
    <x:fill>
      <x:patternFill patternType="solid">
        <x:fgColor rgb="FFEAF0F8"/>
      </x:patternFill>
    </x:fill>
    <x:fill>
      <x:patternFill patternType="solid">
        <x:fgColor rgb="FFB4C6E7"/>
      </x:patternFill>
    </x:fill>
    <x:fill>
      <x:patternFill patternType="solid">
        <x:fgColor rgb="FFF7F9FC"/>
      </x:patternFill>
    </x:fill>
  </x:fills>
  <x:borders count="4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1" fillId="7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e02ed47904d29" /><Relationship Type="http://schemas.openxmlformats.org/officeDocument/2006/relationships/theme" Target="/xl/theme/theme1.xml" Id="Rf3e6c2fe739f48f2" /><Relationship Type="http://schemas.openxmlformats.org/officeDocument/2006/relationships/sharedStrings" Target="/xl/sharedStrings.xml" Id="R52a7c78d225a4749" /><Relationship Type="http://schemas.openxmlformats.org/officeDocument/2006/relationships/worksheet" Target="/xl/worksheets/sheet1.xml" Id="R8de6b9b3eba645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.25" hidden="0" customWidth="1"/>
    <x:col min="2" max="2" width="25.6299991607666" hidden="0" customWidth="1"/>
    <x:col min="3" max="3" width="50" hidden="0" customWidth="1"/>
    <x:col min="4" max="4" width="50" hidden="0" customWidth="1"/>
    <x:col min="5" max="5" width="17.5" hidden="0" customWidth="1"/>
    <x:col min="6" max="6" width="13.75" hidden="0" customWidth="1"/>
  </x:cols>
  <x:sheetData>
    <x:row r="1" ht="25.5" customHeight="1">
      <x:c r="A1" s="5" t="str">
        <x:v>BẢNG KIỂM THỬ TÓM TẮT SHOEGROUP</x:v>
      </x:c>
      <x:c r="B1" s="5"/>
      <x:c r="C1" s="5"/>
      <x:c r="D1" s="5"/>
      <x:c r="E1" s="5"/>
      <x:c r="F1" s="5"/>
    </x:row>
    <x:row r="2" ht="21" customHeight="1">
      <x:c r="A2" s="8" t="str">
        <x:v>Các luồng đại diện dùng trong báo cáo dự án tốt nghiệp</x:v>
      </x:c>
      <x:c r="B2" s="8"/>
      <x:c r="C2" s="8"/>
      <x:c r="D2" s="8"/>
      <x:c r="E2" s="8"/>
      <x:c r="F2" s="8"/>
    </x:row>
    <x:row r="3" ht="18.75" customHeight="1">
      <x:c r="A3" s="11" t="str">
        <x:v>Kết quả ngày 15/09/2026: frontend 14/14, backend 15/15 và Vite build đạt</x:v>
      </x:c>
      <x:c r="B3" s="11"/>
      <x:c r="C3" s="11"/>
      <x:c r="D3" s="11"/>
      <x:c r="E3" s="11"/>
      <x:c r="F3" s="11"/>
    </x:row>
    <x:row r="4">
      <x:c r="A4" s="2"/>
      <x:c r="B4" s="2"/>
      <x:c r="C4" s="2"/>
      <x:c r="D4" s="2"/>
      <x:c r="E4" s="2"/>
      <x:c r="F4" s="2"/>
    </x:row>
    <x:row r="5" ht="25.5" customHeight="1">
      <x:c r="A5" s="15" t="str">
        <x:v>Tổng số ca</x:v>
      </x:c>
      <x:c r="B5" s="15" t="n">
        <x:f>COUNTA(A8:A19)</x:f>
        <x:v>12</x:v>
      </x:c>
      <x:c r="C5" s="15" t="str">
        <x:v>PASS</x:v>
      </x:c>
      <x:c r="D5" s="15" t="n">
        <x:f>COUNTIF(F8:F19,"PASS")</x:f>
        <x:v>12</x:v>
      </x:c>
      <x:c r="E5" s="15" t="str">
        <x:v>FAIL</x:v>
      </x:c>
      <x:c r="F5" s="15" t="n">
        <x:f>COUNTIF(F8:F19,"FAIL")</x:f>
        <x:v>0</x:v>
      </x:c>
    </x:row>
    <x:row r="6">
      <x:c r="A6" s="2"/>
      <x:c r="B6" s="2"/>
      <x:c r="C6" s="2"/>
      <x:c r="D6" s="2"/>
      <x:c r="E6" s="2"/>
      <x:c r="F6" s="2"/>
    </x:row>
    <x:row r="7" ht="28.5" customHeight="1">
      <x:c r="A7" s="20" t="str">
        <x:v>Mã TC</x:v>
      </x:c>
      <x:c r="B7" s="20" t="str">
        <x:v>Chức năng</x:v>
      </x:c>
      <x:c r="C7" s="20" t="str">
        <x:v>Dữ liệu / Bước kiểm thử</x:v>
      </x:c>
      <x:c r="D7" s="20" t="str">
        <x:v>Kết quả mong đợi</x:v>
      </x:c>
      <x:c r="E7" s="20" t="str">
        <x:v>Hình thức</x:v>
      </x:c>
      <x:c r="F7" s="20" t="str">
        <x:v>Trạng thái</x:v>
      </x:c>
    </x:row>
    <x:row r="8" ht="39" customHeight="1">
      <x:c r="A8" s="25" t="str">
        <x:v>TC-AUTH-01</x:v>
      </x:c>
      <x:c r="B8" s="26" t="str">
        <x:v>Đăng nhập</x:v>
      </x:c>
      <x:c r="C8" s="26" t="str">
        <x:v>Email và mật khẩu hợp lệ; gọi POST /api/login.</x:v>
      </x:c>
      <x:c r="D8" s="26" t="str">
        <x:v>Trả JWT, hồ sơ và RoleID; điều hướng đúng khu vực.</x:v>
      </x:c>
      <x:c r="E8" s="25" t="str">
        <x:v>Tự động</x:v>
      </x:c>
      <x:c r="F8" s="25" t="str">
        <x:v>PASS</x:v>
      </x:c>
    </x:row>
    <x:row r="9" ht="39" customHeight="1">
      <x:c r="A9" s="23" t="str">
        <x:v>TC-SEC-02</x:v>
      </x:c>
      <x:c r="B9" s="24" t="str">
        <x:v>Phân quyền</x:v>
      </x:c>
      <x:c r="C9" s="24" t="str">
        <x:v>Customer gọi API quản trị tài khoản.</x:v>
      </x:c>
      <x:c r="D9" s="24" t="str">
        <x:v>Trả 403 và không lộ dữ liệu tài khoản khác.</x:v>
      </x:c>
      <x:c r="E9" s="23" t="str">
        <x:v>Tự động</x:v>
      </x:c>
      <x:c r="F9" s="23" t="str">
        <x:v>PASS</x:v>
      </x:c>
    </x:row>
    <x:row r="10" ht="39" customHeight="1">
      <x:c r="A10" s="25" t="str">
        <x:v>TC-PROD-03</x:v>
      </x:c>
      <x:c r="B10" s="26" t="str">
        <x:v>Sản phẩm</x:v>
      </x:c>
      <x:c r="C10" s="26" t="str">
        <x:v>Gửi giá âm hoặc danh sách biến thể bị trùng.</x:v>
      </x:c>
      <x:c r="D10" s="26" t="str">
        <x:v>Trả 400; không ghi dữ liệu sản phẩm không hợp lệ.</x:v>
      </x:c>
      <x:c r="E10" s="25" t="str">
        <x:v>Tự động</x:v>
      </x:c>
      <x:c r="F10" s="25" t="str">
        <x:v>PASS</x:v>
      </x:c>
    </x:row>
    <x:row r="11" ht="39" customHeight="1">
      <x:c r="A11" s="23" t="str">
        <x:v>TC-CART-04</x:v>
      </x:c>
      <x:c r="B11" s="24" t="str">
        <x:v>Giỏ hàng</x:v>
      </x:c>
      <x:c r="C11" s="24" t="str">
        <x:v>Chọn đúng màu/cỡ và thay đổi số lượng.</x:v>
      </x:c>
      <x:c r="D11" s="24" t="str">
        <x:v>Giữ đúng ProductVariant; cảnh báo khi số lượng đã cũ.</x:v>
      </x:c>
      <x:c r="E11" s="23" t="str">
        <x:v>Tự động</x:v>
      </x:c>
      <x:c r="F11" s="23" t="str">
        <x:v>PASS</x:v>
      </x:c>
    </x:row>
    <x:row r="12" ht="39" customHeight="1">
      <x:c r="A12" s="25" t="str">
        <x:v>TC-CHK-05</x:v>
      </x:c>
      <x:c r="B12" s="26" t="str">
        <x:v>Checkout</x:v>
      </x:c>
      <x:c r="C12" s="26" t="str">
        <x:v>Gửi lặp cùng payload và Idempotency-Key.</x:v>
      </x:c>
      <x:c r="D12" s="26" t="str">
        <x:v>Chỉ tạo một đơn và trả lại kết quả đã ghi nhận.</x:v>
      </x:c>
      <x:c r="E12" s="25" t="str">
        <x:v>Tự động</x:v>
      </x:c>
      <x:c r="F12" s="25" t="str">
        <x:v>PASS</x:v>
      </x:c>
    </x:row>
    <x:row r="13" ht="39" customHeight="1">
      <x:c r="A13" s="23" t="str">
        <x:v>TC-PRICE-06</x:v>
      </x:c>
      <x:c r="B13" s="24" t="str">
        <x:v>Giá và số lượng</x:v>
      </x:c>
      <x:c r="C13" s="24" t="str">
        <x:v>Thay giá hoặc số lượng phía client trước khi gửi.</x:v>
      </x:c>
      <x:c r="D13" s="24" t="str">
        <x:v>Backend tính lại giá và trừ số lượng trong transaction.</x:v>
      </x:c>
      <x:c r="E13" s="23" t="str">
        <x:v>Tự động</x:v>
      </x:c>
      <x:c r="F13" s="23" t="str">
        <x:v>PASS</x:v>
      </x:c>
    </x:row>
    <x:row r="14" ht="39" customHeight="1">
      <x:c r="A14" s="25" t="str">
        <x:v>TC-CPN-07</x:v>
      </x:c>
      <x:c r="B14" s="26" t="str">
        <x:v>Mã giảm giá</x:v>
      </x:c>
      <x:c r="C14" s="26" t="str">
        <x:v>Phần trăm/ngày áp dụng/lượt dùng ngoài giới hạn.</x:v>
      </x:c>
      <x:c r="D14" s="26" t="str">
        <x:v>Từ chối coupon hoặc giảm giá biến thể không hợp lệ.</x:v>
      </x:c>
      <x:c r="E14" s="25" t="str">
        <x:v>Tự động</x:v>
      </x:c>
      <x:c r="F14" s="25" t="str">
        <x:v>PASS</x:v>
      </x:c>
    </x:row>
    <x:row r="15" ht="39" customHeight="1">
      <x:c r="A15" s="23" t="str">
        <x:v>TC-PAY-08</x:v>
      </x:c>
      <x:c r="B15" s="24" t="str">
        <x:v>Thanh toán</x:v>
      </x:c>
      <x:c r="C15" s="24" t="str">
        <x:v>Customer tự khai đã trả tiền hoặc sửa đơn sai chủ.</x:v>
      </x:c>
      <x:c r="D15" s="24" t="str">
        <x:v>Không ghi SUCCESS; từ chối thao tác không đúng quyền.</x:v>
      </x:c>
      <x:c r="E15" s="23" t="str">
        <x:v>Tự động</x:v>
      </x:c>
      <x:c r="F15" s="23" t="str">
        <x:v>PASS</x:v>
      </x:c>
    </x:row>
    <x:row r="16" ht="39" customHeight="1">
      <x:c r="A16" s="25" t="str">
        <x:v>TC-POS-09</x:v>
      </x:c>
      <x:c r="B16" s="26" t="str">
        <x:v>Bán tại quầy</x:v>
      </x:c>
      <x:c r="C16" s="26" t="str">
        <x:v>Chọn biến thể, khách lẻ, coupon và tiền mặt.</x:v>
      </x:c>
      <x:c r="D16" s="26" t="str">
        <x:v>Tạo đơn POS, giao dịch thanh toán và hóa đơn xem/in.</x:v>
      </x:c>
      <x:c r="E16" s="25" t="str">
        <x:v>Thủ công</x:v>
      </x:c>
      <x:c r="F16" s="25" t="str">
        <x:v>PASS</x:v>
      </x:c>
    </x:row>
    <x:row r="17" ht="39" customHeight="1">
      <x:c r="A17" s="23" t="str">
        <x:v>TC-DASH-10</x:v>
      </x:c>
      <x:c r="B17" s="24" t="str">
        <x:v>Dashboard</x:v>
      </x:c>
      <x:c r="C17" s="24" t="str">
        <x:v>Có đơn chưa trả, đã hủy và đơn đủ điều kiện.</x:v>
      </x:c>
      <x:c r="D17" s="24" t="str">
        <x:v>Chỉ cộng doanh thu của đơn đủ điều kiện ghi nhận.</x:v>
      </x:c>
      <x:c r="E17" s="23" t="str">
        <x:v>Tự động</x:v>
      </x:c>
      <x:c r="F17" s="23" t="str">
        <x:v>PASS</x:v>
      </x:c>
    </x:row>
    <x:row r="18" ht="39" customHeight="1">
      <x:c r="A18" s="25" t="str">
        <x:v>TC-IMG-11</x:v>
      </x:c>
      <x:c r="B18" s="26" t="str">
        <x:v>Ảnh biến thể</x:v>
      </x:c>
      <x:c r="C18" s="26" t="str">
        <x:v>Thêm ảnh màu đầu tiên rồi thêm các màu tiếp theo.</x:v>
      </x:c>
      <x:c r="D18" s="26" t="str">
        <x:v>Ảnh đầu làm ảnh bìa; ảnh sau không ghi đè ngoài ý muốn.</x:v>
      </x:c>
      <x:c r="E18" s="25" t="str">
        <x:v>Tự động</x:v>
      </x:c>
      <x:c r="F18" s="25" t="str">
        <x:v>PASS</x:v>
      </x:c>
    </x:row>
    <x:row r="19" ht="39" customHeight="1">
      <x:c r="A19" s="23" t="str">
        <x:v>TC-BUILD-12</x:v>
      </x:c>
      <x:c r="B19" s="24" t="str">
        <x:v>Build production</x:v>
      </x:c>
      <x:c r="C19" s="24" t="str">
        <x:v>Chạy npm run build tại thư mục gốc.</x:v>
      </x:c>
      <x:c r="D19" s="24" t="str">
        <x:v>Vite build thành công; 136 module được chuyển đổi.</x:v>
      </x:c>
      <x:c r="E19" s="23" t="str">
        <x:v>Build</x:v>
      </x:c>
      <x:c r="F19" s="23" t="str">
        <x:v>PASS</x:v>
      </x:c>
    </x:row>
  </x:sheetData>
  <x:mergeCells>
    <x:mergeCell ref="A1:F1"/>
    <x:mergeCell ref="A2:F2"/>
    <x:mergeCell ref="A3:F3"/>
  </x:mergeCells>
  <x:conditionalFormatting sqref="F8:F19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
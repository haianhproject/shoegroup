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01dac01f2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a5d214e7a2e048cb"/>
    <x:sheet xmlns:r="http://schemas.openxmlformats.org/officeDocument/2006/relationships" name="Test Cases" sheetId="2" r:id="R273fa9ebcb784630"/>
    <x:sheet xmlns:r="http://schemas.openxmlformats.org/officeDocument/2006/relationships" name="Feature Coverage" sheetId="3" r:id="R8acb9027a9d94ecc"/>
    <x:sheet xmlns:r="http://schemas.openxmlformats.org/officeDocument/2006/relationships" name="Defects &amp; Gaps" sheetId="4" r:id="R48f8be76f7d4439f"/>
    <x:sheet xmlns:r="http://schemas.openxmlformats.org/officeDocument/2006/relationships" name="Sources" sheetId="5" r:id="Rf2ca28c4e52549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8">
    <x:font>
      <x:sz val="11"/>
      <x:name val="Carlito"/>
    </x:font>
    <x:font>
      <x:b/>
      <x:sz val="15"/>
      <x:color rgb="FF1F4E78"/>
      <x:name val="Aptos"/>
    </x:font>
    <x:font>
      <x:i/>
      <x:sz val="10"/>
      <x:color rgb="FF666666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1F4E78"/>
      <x:name val="Aptos"/>
    </x:font>
    <x:font>
      <x:b/>
      <x:sz val="10"/>
      <x:color rgb="FF1F2937"/>
      <x:name val="Aptos"/>
    </x:font>
    <x:font>
      <x:i/>
      <x:sz val="10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8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8EDF5"/>
      </x:bottom>
    </x:border>
    <x:border>
      <x:top style="thin">
        <x:color rgb="FFE8EDF5"/>
      </x:top>
      <x:bottom style="thin">
        <x:color rgb="FFE8EDF5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4" fillId="0" borderId="5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7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DEDED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a1ed33e9454391" /><Relationship Type="http://schemas.openxmlformats.org/officeDocument/2006/relationships/theme" Target="/xl/theme/theme1.xml" Id="R534f4dab47294b2f" /><Relationship Type="http://schemas.openxmlformats.org/officeDocument/2006/relationships/sharedStrings" Target="/xl/sharedStrings.xml" Id="Rf4c1f6241439433f" /><Relationship Type="http://schemas.openxmlformats.org/officeDocument/2006/relationships/worksheet" Target="/xl/worksheets/sheet1.xml" Id="Ra5d214e7a2e048cb" /><Relationship Type="http://schemas.openxmlformats.org/officeDocument/2006/relationships/worksheet" Target="/xl/worksheets/sheet2.xml" Id="R273fa9ebcb784630" /><Relationship Type="http://schemas.openxmlformats.org/officeDocument/2006/relationships/worksheet" Target="/xl/worksheets/sheet3.xml" Id="R8acb9027a9d94ecc" /><Relationship Type="http://schemas.openxmlformats.org/officeDocument/2006/relationships/worksheet" Target="/xl/worksheets/sheet4.xml" Id="R48f8be76f7d4439f" /><Relationship Type="http://schemas.openxmlformats.org/officeDocument/2006/relationships/worksheet" Target="/xl/worksheets/sheet5.xml" Id="Rf2ca28c4e52549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78b63bcf7d4b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Phân bổ trạng thái testcase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Số lượng</c:v>
          </c:tx>
          <c:cat>
            <c:strRef>
              <c:f>'Tổng quan'!$D$6:$D$9</c:f>
              <c:strCache>
                <c:ptCount val="0"/>
              </c:strCache>
            </c:strRef>
          </c:cat>
          <c:val>
            <c:numRef>
              <c:f>'Tổng quan'!$E$6:$E$9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78b63bcf7d4be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CasesTable" displayName="TestCasesTable" ref="A7:Q113" headerRowCount="1" totalsRowCount="0" totalsRowShown="0">
  <x:autoFilter ref="A7:Q113"/>
  <x:tableColumns count="17">
    <x:tableColumn id="1" name="Test ID"/>
    <x:tableColumn id="2" name="Module"/>
    <x:tableColumn id="3" name="Test Level"/>
    <x:tableColumn id="4" name="Priority"/>
    <x:tableColumn id="5" name="Scenario"/>
    <x:tableColumn id="6" name="Preconditions"/>
    <x:tableColumn id="7" name="Test Data / Input"/>
    <x:tableColumn id="8" name="Steps"/>
    <x:tableColumn id="9" name="Expected Result"/>
    <x:tableColumn id="10" name="Actual / Evidence"/>
    <x:tableColumn id="11" name="Status"/>
    <x:tableColumn id="12" name="Automation"/>
    <x:tableColumn id="13" name="Evidence Date"/>
    <x:tableColumn id="14" name="Executor / Owner"/>
    <x:tableColumn id="15" name="Source / Evidence"/>
    <x:tableColumn id="16" name="Defect / Gap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atureCoverageTable" displayName="FeatureCoverageTable" ref="A5:G39" headerRowCount="1" totalsRowCount="0" totalsRowShown="0">
  <x:tableColumns count="7">
    <x:tableColumn id="1" name="Module"/>
    <x:tableColumn id="2" name="Feature"/>
    <x:tableColumn id="3" name="Feature Status"/>
    <x:tableColumn id="4" name="Test Evidence"/>
    <x:tableColumn id="5" name="Issue / Limitation"/>
    <x:tableColumn id="6" name="Priority"/>
    <x:tableColumn id="7" name="Coverage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fectsGapsTable" displayName="DefectsGapsTable" ref="A5:H15" headerRowCount="1" totalsRowCount="0" totalsRowShown="0">
  <x:tableColumns count="8">
    <x:tableColumn id="1" name="Ref"/>
    <x:tableColumn id="2" name="Module"/>
    <x:tableColumn id="3" name="Issue / Gap"/>
    <x:tableColumn id="4" name="Current Status"/>
    <x:tableColumn id="5" name="Evidence"/>
    <x:tableColumn id="6" name="Priority"/>
    <x:tableColumn id="7" name="Recommended Action"/>
    <x:tableColumn id="8" name="Own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5:E14" headerRowCount="1" totalsRowCount="0" totalsRowShown="0">
  <x:tableColumns count="5">
    <x:tableColumn id="1" name="Source Type"/>
    <x:tableColumn id="2" name="Path / Command"/>
    <x:tableColumn id="3" name="Evidence Date"/>
    <x:tableColumn id="4" name="Coverage"/>
    <x:tableColumn id="5" name="Use in Workboo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129d733d1b241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8595abc5b346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8f1410aa2846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b7e22848ee4f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6fe3e8b1294f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5" hidden="0" customWidth="1"/>
    <x:col min="3" max="3" width="3" hidden="0" customWidth="1"/>
    <x:col min="4" max="4" width="20" hidden="0" customWidth="1"/>
    <x:col min="5" max="5" width="14" hidden="0" customWidth="1"/>
    <x:col min="6" max="6" width="3" hidden="0" customWidth="1"/>
    <x:col min="7" max="7" width="3" hidden="0" customWidth="1"/>
    <x:col min="8" max="8" width="3" hidden="0" customWidth="1"/>
    <x:col min="10" max="10" width="14" hidden="0" customWidth="1"/>
    <x:col min="11" max="11" width="14" hidden="0" customWidth="1"/>
    <x:col min="17" max="17" width="14" hidden="0" customWidth="1"/>
  </x:cols>
  <x:sheetData>
    <x:row r="1">
      <x:c r="A1" s="26" t="str">
        <x:v>ShoeGroup - Bộ testcase tổng hợp</x:v>
      </x:c>
      <x:c r="B1" s="26"/>
      <x:c r="C1" s="26"/>
      <x:c r="D1" s="26"/>
      <x:c r="E1" s="26"/>
      <x:c r="F1" s="26"/>
      <x:c r="G1" s="26"/>
      <x:c r="H1" s="26"/>
      <x:c r="I1" s="35"/>
      <x:c r="J1" s="35"/>
      <x:c r="K1" s="35"/>
      <x:c r="L1" s="35"/>
      <x:c r="M1" s="35"/>
      <x:c r="N1" s="35"/>
      <x:c r="O1" s="35"/>
      <x:c r="P1" s="35"/>
      <x:c r="Q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</x:row>
    <x:row r="3" ht="32" customHeight="1">
      <x:c r="A3" s="36" t="str">
        <x:v>Mục đích: ghi nhận đầy đủ testcase theo bằng chứng audit/test cũ, không chạy lại các ca đã có kết quả PASS.</x:v>
      </x:c>
      <x:c r="B3" s="36"/>
      <x:c r="C3" s="36"/>
      <x:c r="D3" s="36"/>
      <x:c r="E3" s="36"/>
      <x:c r="F3" s="36"/>
      <x:c r="G3" s="36"/>
      <x:c r="H3" s="36"/>
      <x:c r="I3" s="35"/>
      <x:c r="J3" s="35"/>
      <x:c r="K3" s="35"/>
      <x:c r="L3" s="35"/>
      <x:c r="M3" s="35"/>
      <x:c r="N3" s="35"/>
      <x:c r="O3" s="35"/>
      <x:c r="P3" s="35"/>
      <x:c r="Q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</x:row>
    <x:row r="5">
      <x:c r="A5" s="9" t="str">
        <x:v>Chỉ số</x:v>
      </x:c>
      <x:c r="B5" s="9" t="str">
        <x:v>Giá trị</x:v>
      </x:c>
      <x:c r="C5" s="35"/>
      <x:c r="D5" s="9" t="str">
        <x:v>Status</x:v>
      </x:c>
      <x:c r="E5" s="9" t="str">
        <x:v>Số lượng</x:v>
      </x:c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</x:row>
    <x:row r="6">
      <x:c r="A6" s="38" t="str">
        <x:v>Tổng testcase</x:v>
      </x:c>
      <x:c r="B6" s="21" t="n">
        <x:f>COUNTA('Test Cases'!$A$8:$A$113)</x:f>
        <x:v>106</x:v>
      </x:c>
      <x:c r="C6" s="35"/>
      <x:c r="D6" s="38" t="str">
        <x:v>PASS</x:v>
      </x:c>
      <x:c r="E6" s="21" t="n">
        <x:f>B7</x:f>
        <x:v>95</x:v>
      </x:c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</x:row>
    <x:row r="7">
      <x:c r="A7" s="38" t="str">
        <x:v>PASS theo evidence</x:v>
      </x:c>
      <x:c r="B7" s="21" t="n">
        <x:f>COUNTIF('Test Cases'!$K$8:$K$113,"PASS")</x:f>
        <x:v>95</x:v>
      </x:c>
      <x:c r="C7" s="35"/>
      <x:c r="D7" s="38" t="str">
        <x:v>FAIL</x:v>
      </x:c>
      <x:c r="E7" s="21" t="n">
        <x:f>B8</x:f>
        <x:v>4</x:v>
      </x:c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</x:row>
    <x:row r="8">
      <x:c r="A8" s="38" t="str">
        <x:v>FAIL đã biết</x:v>
      </x:c>
      <x:c r="B8" s="21" t="n">
        <x:f>COUNTIF('Test Cases'!$K$8:$K$113,"FAIL")</x:f>
        <x:v>4</x:v>
      </x:c>
      <x:c r="C8" s="35"/>
      <x:c r="D8" s="38" t="str">
        <x:v>NOT RUN</x:v>
      </x:c>
      <x:c r="E8" s="21" t="n">
        <x:f>B9</x:f>
        <x:v>6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</x:row>
    <x:row r="9">
      <x:c r="A9" s="38" t="str">
        <x:v>NOT RUN</x:v>
      </x:c>
      <x:c r="B9" s="21" t="n">
        <x:f>COUNTIF('Test Cases'!$K$8:$K$113,"NOT RUN")</x:f>
        <x:v>6</x:v>
      </x:c>
      <x:c r="C9" s="35"/>
      <x:c r="D9" s="38" t="str">
        <x:v>NOT IMPLEMENTED</x:v>
      </x:c>
      <x:c r="E9" s="21" t="n">
        <x:f>B10</x:f>
        <x:v>1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</x:row>
    <x:row r="10">
      <x:c r="A10" s="38" t="str">
        <x:v>NOT IMPLEMENTED</x:v>
      </x:c>
      <x:c r="B10" s="21" t="n">
        <x:f>COUNTIF('Test Cases'!$K$8:$K$113,"NOT IMPLEMENTED")</x:f>
        <x:v>1</x:v>
      </x:c>
      <x:c r="C10" s="35"/>
      <x:c r="D10" s="38" t="str">
        <x:v>Đã chạy</x:v>
      </x:c>
      <x:c r="E10" s="21" t="n">
        <x:f>B7+B8</x:f>
        <x:v>99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</x:row>
    <x:row r="11">
      <x:c r="A11" s="38" t="str">
        <x:v>Pass rate trên ca đã chạy</x:v>
      </x:c>
      <x:c r="B11" s="25" t="n">
        <x:f>IF((B6-B9-B10)=0,0,B7/(B6-B9-B10))</x:f>
        <x:v>0.9595959595959596</x:v>
      </x:c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</x:row>
    <x:row r="12">
      <x:c r="A12" s="38" t="str">
        <x:v>Ngày lập workbook</x:v>
      </x:c>
      <x:c r="B12" s="23" t="n">
        <x:v>46280</x:v>
      </x:c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</x:row>
    <x:row r="13">
      <x:c r="A13" s="35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</x:row>
    <x:row r="14">
      <x:c r="A14" s="39" t="str">
        <x:v>Quy ước trạng thái</x:v>
      </x:c>
      <x:c r="B14" s="40"/>
      <x:c r="C14" s="40"/>
      <x:c r="D14" s="40"/>
      <x:c r="E14" s="40"/>
      <x:c r="F14" s="40"/>
      <x:c r="G14" s="40"/>
      <x:c r="H14" s="41"/>
      <x:c r="I14" s="35"/>
      <x:c r="J14" s="35"/>
      <x:c r="K14" s="35"/>
      <x:c r="L14" s="35"/>
      <x:c r="M14" s="35"/>
      <x:c r="N14" s="35"/>
      <x:c r="O14" s="35"/>
      <x:c r="P14" s="35"/>
      <x:c r="Q14" s="35"/>
    </x:row>
    <x:row r="15">
      <x:c r="A15" s="38" t="str">
        <x:v>PASS</x:v>
      </x:c>
      <x:c r="B15" s="21" t="str">
        <x:v>Đã có evidence lịch sử đạt expected; không chạy lại trong lần tạo workbook này.</x:v>
      </x:c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</x:row>
    <x:row r="16">
      <x:c r="A16" s="38" t="str">
        <x:v>FAIL</x:v>
      </x:c>
      <x:c r="B16" s="21" t="str">
        <x:v>Evidence lịch sử cho thấy lỗi/gap; giữ nguyên để không đánh giá sai chất lượng.</x:v>
      </x:c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</x:row>
    <x:row r="17">
      <x:c r="A17" s="38" t="str">
        <x:v>NOT RUN</x:v>
      </x:c>
      <x:c r="B17" s="21" t="str">
        <x:v>Chưa có provider/sandbox/credential hoặc chưa thực hiện trong audit.</x:v>
      </x:c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</x:row>
    <x:row r="18">
      <x:c r="A18" s="38" t="str">
        <x:v>NOT IMPLEMENTED</x:v>
      </x:c>
      <x:c r="B18" s="21" t="str">
        <x:v>Chức năng chưa có trong hệ thống, cần thiết kế/triển khai trước khi test.</x:v>
      </x:c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</x:row>
    <x:row r="20" ht="38" customHeight="1">
      <x:c r="A20" s="36" t="str">
        <x:v>Phạm vi: Product, Cart, Checkout, Inventory, Order, Payment, Coupon, Promotion, Return, Exchange, Bundle, Shipping, Revenue, Auth, Admin, Wallet, Database, Notification. Production readiness không được suy ra chỉ từ PASS.</x:v>
      </x:c>
      <x:c r="B20" s="36"/>
      <x:c r="C20" s="36"/>
      <x:c r="D20" s="36"/>
      <x:c r="E20" s="36"/>
      <x:c r="F20" s="36"/>
      <x:c r="G20" s="36"/>
      <x:c r="H20" s="36"/>
      <x:c r="I20" s="35"/>
      <x:c r="J20" s="35"/>
      <x:c r="K20" s="35"/>
      <x:c r="L20" s="35"/>
      <x:c r="M20" s="35"/>
      <x:c r="N20" s="35"/>
      <x:c r="O20" s="35"/>
      <x:c r="P20" s="35"/>
      <x:c r="Q20" s="35"/>
    </x:row>
    <x:row r="21">
      <x:c r="A21" s="35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</x:row>
    <x:row r="22">
      <x:c r="A22" s="39" t="str">
        <x:v>Thông tin hồ sơ kiểm thử</x:v>
      </x:c>
      <x:c r="B22" s="40"/>
      <x:c r="C22" s="40"/>
      <x:c r="D22" s="40"/>
      <x:c r="E22" s="40"/>
      <x:c r="F22" s="40"/>
      <x:c r="G22" s="40"/>
      <x:c r="H22" s="41"/>
      <x:c r="I22" s="35"/>
      <x:c r="J22" s="35"/>
      <x:c r="K22" s="35"/>
      <x:c r="L22" s="35"/>
      <x:c r="M22" s="35"/>
      <x:c r="N22" s="35"/>
      <x:c r="O22" s="35"/>
      <x:c r="P22" s="35"/>
      <x:c r="Q22" s="35"/>
    </x:row>
    <x:row r="23">
      <x:c r="A23" s="38" t="str">
        <x:v>Dự án</x:v>
      </x:c>
      <x:c r="B23" s="21" t="str">
        <x:v>ShoeGroup - website bán giày</x:v>
      </x:c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</x:row>
    <x:row r="24">
      <x:c r="A24" s="38" t="str">
        <x:v>Phiên bản Git</x:v>
      </x:c>
      <x:c r="B24" s="21" t="str">
        <x:v>63c050d</x:v>
      </x:c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</x:row>
    <x:row r="25">
      <x:c r="A25" s="38" t="str">
        <x:v>Nhánh</x:v>
      </x:c>
      <x:c r="B25" s="21" t="str">
        <x:v>haianhfix</x:v>
      </x:c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</x:row>
    <x:row r="26">
      <x:c r="A26" s="38" t="str">
        <x:v>Ngày lập</x:v>
      </x:c>
      <x:c r="B26" s="23" t="n">
        <x:v>46280</x:v>
      </x:c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</x:row>
    <x:row r="27">
      <x:c r="A27" s="38" t="str">
        <x:v>Người tổng hợp</x:v>
      </x:c>
      <x:c r="B27" s="21" t="str">
        <x:v>Codex</x:v>
      </x:c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</x:row>
    <x:row r="28">
      <x:c r="A28" s="38" t="str">
        <x:v>Chủ sở hữu repository</x:v>
      </x:c>
      <x:c r="B28" s="21" t="str">
        <x:v>anhbh0207</x:v>
      </x:c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</x:row>
    <x:row r="29">
      <x:c r="A29" s="38" t="str">
        <x:v>Người thực hiện testcase</x:v>
      </x:c>
      <x:c r="B29" s="21" t="str">
        <x:v>QA automation / historical audit evidence</x:v>
      </x:c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</x:row>
    <x:row r="30">
      <x:c r="A30" s="38" t="str">
        <x:v>Email cấu hình Git</x:v>
      </x:c>
      <x:c r="B30" s="21" t="str">
        <x:v>haianh32235@gmail.com</x:v>
      </x:c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</x:row>
    <x:row r="31">
      <x:c r="A31" s="38" t="str">
        <x:v>Môi trường frontend</x:v>
      </x:c>
      <x:c r="B31" s="21" t="str">
        <x:v>Vue 3, Vue Router, Vite 6</x:v>
      </x:c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</x:row>
    <x:row r="32">
      <x:c r="A32" s="38" t="str">
        <x:v>Môi trường backend</x:v>
      </x:c>
      <x:c r="B32" s="21" t="str">
        <x:v>Express 5, Node.js</x:v>
      </x:c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</x:row>
    <x:row r="33">
      <x:c r="A33" s="38" t="str">
        <x:v>Cơ sở dữ liệu test</x:v>
      </x:c>
      <x:c r="B33" s="21" t="str">
        <x:v>SQL Server 2022 Express; ShoegroupAudit_20260909_fixed</x:v>
      </x:c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</x:row>
    <x:row r="34">
      <x:c r="A34" s="38" t="str">
        <x:v>Dữ liệu</x:v>
      </x:c>
      <x:c r="B34" s="21" t="str">
        <x:v>Synthetic @example.test; không dùng thanh toán/email thật</x:v>
      </x:c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</x:row>
    <x:row r="35">
      <x:c r="A35" s="38" t="str">
        <x:v>Phương pháp</x:v>
      </x:c>
      <x:c r="B35" s="21" t="str">
        <x:v>Tái sử dụng evidence cũ; không chạy lại ca PASS</x:v>
      </x:c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</x:row>
    <x:row r="36">
      <x:c r="A36" s="38" t="str">
        <x:v>Người phê duyệt</x:v>
      </x:c>
      <x:c r="B36" s="21" t="str">
        <x:v>Để trống cho giảng viên/QA lead ký duyệt</x:v>
      </x:c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</x:row>
    <x:row r="37">
      <x:c r="A37" s="35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</x:row>
  </x:sheetData>
  <x:mergeCells>
    <x:mergeCell ref="A1:H1"/>
    <x:mergeCell ref="A3:H3"/>
    <x:mergeCell ref="A14:H14"/>
    <x:mergeCell ref="A20:H20"/>
    <x:mergeCell ref="A22:H22"/>
  </x:mergeCells>
  <x:conditionalFormatting sqref="D6:D9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NOT RUN"/>
    <x:cfRule type="containsText" dxfId="3" priority="4" operator="containsText" text="NOT IMPLEMENTED"/>
  </x:conditionalFormatting>
  <x:pageMargins left="0.7" right="0.7" top="0.75" bottom="0.75" header="0.3" footer="0.3"/>
  <x:drawing xmlns:r="http://schemas.openxmlformats.org/officeDocument/2006/relationships" r:id="Re129d733d1b241a7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1" hidden="0" customWidth="1"/>
    <x:col min="2" max="2" width="22" hidden="0" customWidth="1"/>
    <x:col min="3" max="3" width="19" hidden="0" customWidth="1"/>
    <x:col min="4" max="4" width="9" hidden="0" customWidth="1"/>
    <x:col min="5" max="5" width="32" hidden="0" customWidth="1"/>
    <x:col min="6" max="6" width="38" hidden="0" customWidth="1"/>
    <x:col min="7" max="7" width="30" hidden="0" customWidth="1"/>
    <x:col min="8" max="8" width="48" hidden="0" customWidth="1"/>
    <x:col min="9" max="9" width="34" hidden="0" customWidth="1"/>
    <x:col min="10" max="10" width="48" hidden="0" customWidth="1"/>
    <x:col min="11" max="11" width="16" hidden="0" customWidth="1"/>
    <x:col min="12" max="12" width="18" hidden="0" customWidth="1"/>
    <x:col min="13" max="13" width="13" hidden="0" customWidth="1"/>
    <x:col min="14" max="14" width="23" hidden="0" customWidth="1"/>
    <x:col min="15" max="15" width="42" hidden="0" customWidth="1"/>
    <x:col min="16" max="16" width="18" hidden="0" customWidth="1"/>
    <x:col min="17" max="17" width="34" hidden="0" customWidth="1"/>
  </x:cols>
  <x:sheetData>
    <x:row r="1">
      <x:c r="A1" s="1" t="str">
        <x:v>ShoeGroup - Test Case Register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</x:row>
    <x:row r="3" ht="34" customHeight="1">
      <x:c r="A3" s="43" t="str">
        <x:v>Nguồn dữ liệu: audit 09/09/2026, unit/handler tests, UI smoke và known gaps. Các PASS là trạng thái theo evidence cũ, không phải lần chạy mới.</x:v>
      </x:c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</x:row>
    <x:row r="5">
      <x:c r="A5" s="44" t="str">
        <x:v>Bộ dữ liệu</x:v>
      </x:c>
      <x:c r="B5" s="44" t="str">
        <x:v>Giá trị</x:v>
      </x:c>
      <x:c r="C5" s="44" t="str">
        <x:v>Ghi chú</x:v>
      </x:c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</x:row>
    <x:row r="6">
      <x:c r="A6" s="12" t="str">
        <x:v>Tổng dòng</x:v>
      </x:c>
      <x:c r="B6" s="12" t="n">
        <x:v>106</x:v>
      </x:c>
      <x:c r="C6" s="12" t="str">
        <x:v>Có thể lọc theo module, level, priority, status và source.</x:v>
      </x:c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</x:row>
    <x:row r="7">
      <x:c r="A7" s="44" t="str">
        <x:v>Test ID</x:v>
      </x:c>
      <x:c r="B7" s="44" t="str">
        <x:v>Module</x:v>
      </x:c>
      <x:c r="C7" s="44" t="str">
        <x:v>Test Level</x:v>
      </x:c>
      <x:c r="D7" s="44" t="str">
        <x:v>Priority</x:v>
      </x:c>
      <x:c r="E7" s="44" t="str">
        <x:v>Scenario</x:v>
      </x:c>
      <x:c r="F7" s="44" t="str">
        <x:v>Preconditions</x:v>
      </x:c>
      <x:c r="G7" s="44" t="str">
        <x:v>Test Data / Input</x:v>
      </x:c>
      <x:c r="H7" s="44" t="str">
        <x:v>Steps</x:v>
      </x:c>
      <x:c r="I7" s="44" t="str">
        <x:v>Expected Result</x:v>
      </x:c>
      <x:c r="J7" s="44" t="str">
        <x:v>Actual / Evidence</x:v>
      </x:c>
      <x:c r="K7" s="44" t="str">
        <x:v>Status</x:v>
      </x:c>
      <x:c r="L7" s="44" t="str">
        <x:v>Automation</x:v>
      </x:c>
      <x:c r="M7" s="44" t="str">
        <x:v>Evidence Date</x:v>
      </x:c>
      <x:c r="N7" s="44" t="str">
        <x:v>Executor / Owner</x:v>
      </x:c>
      <x:c r="O7" s="44" t="str">
        <x:v>Source / Evidence</x:v>
      </x:c>
      <x:c r="P7" s="44" t="str">
        <x:v>Defect / Gap</x:v>
      </x:c>
      <x:c r="Q7" s="44" t="str">
        <x:v>Notes</x:v>
      </x:c>
    </x:row>
    <x:row r="8" ht="72" customHeight="1">
      <x:c r="A8" s="32" t="str">
        <x:v>T01</x:v>
      </x:c>
      <x:c r="B8" s="32" t="str">
        <x:v>Inventory / Checkout</x:v>
      </x:c>
      <x:c r="C8" s="32" t="str">
        <x:v>Integration / API / SQL</x:v>
      </x:c>
      <x:c r="D8" s="32" t="str">
        <x:v>P0</x:v>
      </x:c>
      <x:c r="E8" s="32" t="str">
        <x:v>Stock 7, quantity 10, transaction rollback</x:v>
      </x:c>
      <x:c r="F8" s="32" t="str">
        <x:v>SQL fixture ShoegroupAudit_20260909_fixed; API port 5100; synthetic test accounts; no real payment/email sent.</x:v>
      </x:c>
      <x:c r="G8" s="32" t="str">
        <x:v>Stock 7, quantity 10, transaction rollback</x:v>
      </x:c>
      <x:c r="H8" s="32" t="str">
        <x:v>1) Chuẩn bị điều kiện: SQL fixture ShoegroupAudit_20260909_fixed; API port 5100; synthetic test accounts; no real payment/email sent. 2) Thực hiện scenario: Stock 7, quantity 10, transaction rollback 3) Kiểm tra HTTP/UI/SQL/job side effects. 4) Đối chiếu với kết quả mong đợi và lưu evidence.</x:v>
      </x:c>
      <x:c r="I8" s="32" t="str">
        <x:v>409; stock 7; no order details</x:v>
      </x:c>
      <x:c r="J8" s="32" t="str">
        <x:v>{"status":409,"data":{"success":false,"message":"Biến thể vừa hết hàng hoặc không đủ số lượng.","code":"STOCK_UNAVAILABLE"}}</x:v>
      </x:c>
      <x:c r="K8" s="32" t="str">
        <x:v>PASS</x:v>
      </x:c>
      <x:c r="L8" s="32" t="str">
        <x:v>Automated / evidence</x:v>
      </x:c>
      <x:c r="M8" s="32" t="str">
        <x:v>2026-09-09</x:v>
      </x:c>
      <x:c r="N8" s="32" t="str">
        <x:v>Historical audit / QA evidence</x:v>
      </x:c>
      <x:c r="O8" s="32" t="str">
        <x:v>docs/audit/runtime-results.json; AUDIT-2026-09-09.md</x:v>
      </x:c>
      <x:c r="P8" s="32" t="str"/>
      <x:c r="Q8" s="32" t="str">
        <x:v>PASS theo bằng chứng lịch sử; không chạy lại trong lần tạo workbook này.</x:v>
      </x:c>
    </x:row>
    <x:row r="9" ht="72" customHeight="1">
      <x:c r="A9" s="33" t="str">
        <x:v>T02-1</x:v>
      </x:c>
      <x:c r="B9" s="33" t="str">
        <x:v>Inventory / Checkout</x:v>
      </x:c>
      <x:c r="C9" s="33" t="str">
        <x:v>Integration / API / SQL</x:v>
      </x:c>
      <x:c r="D9" s="33" t="str">
        <x:v>P0</x:v>
      </x:c>
      <x:c r="E9" s="33" t="str">
        <x:v>Buy 1 from stock 10</x:v>
      </x:c>
      <x:c r="F9" s="33" t="str">
        <x:v>SQL fixture ShoegroupAudit_20260909_fixed; API port 5100; synthetic test accounts; no real payment/email sent.</x:v>
      </x:c>
      <x:c r="G9" s="33" t="str">
        <x:v>Buy 1 from stock 10</x:v>
      </x:c>
      <x:c r="H9" s="33" t="str">
        <x:v>1) Chuẩn bị điều kiện: SQL fixture ShoegroupAudit_20260909_fixed; API port 5100; synthetic test accounts; no real payment/email sent. 2) Thực hiện scenario: Buy 1 from stock 10 3) Kiểm tra HTTP/UI/SQL/job side effects. 4) Đối chiếu với kết quả mong đợi và lưu evidence.</x:v>
      </x:c>
      <x:c r="I9" s="33" t="str">
        <x:v>200; deducted exactly once</x:v>
      </x:c>
      <x:c r="J9" s="33" t="str">
        <x:v>{"success":true,"orderId":87,"OrderID":87,"subtotalAmount":500000,"shippingFee":75000,"discountAmount":0,"totalAmount":575000,"shippingMethodCode":"STANDARD","shippingMethodId":1,"distanceKm":1720,"eta":"4-5 ngày"}</x:v>
      </x:c>
      <x:c r="K9" s="33" t="str">
        <x:v>PASS</x:v>
      </x:c>
      <x:c r="L9" s="33" t="str">
        <x:v>Automated / evidence</x:v>
      </x:c>
      <x:c r="M9" s="33" t="str">
        <x:v>2026-09-09</x:v>
      </x:c>
      <x:c r="N9" s="33" t="str">
        <x:v>Historical audit / QA evidence</x:v>
      </x:c>
      <x:c r="O9" s="33" t="str">
        <x:v>docs/audit/runtime-results.json; AUDIT-2026-09-09.md</x:v>
      </x:c>
      <x:c r="P9" s="33" t="str"/>
      <x:c r="Q9" s="33" t="str">
        <x:v>PASS theo bằng chứng lịch sử; không chạy lại trong lần tạo workbook này.</x:v>
      </x:c>
    </x:row>
    <x:row r="10" ht="72" customHeight="1">
      <x:c r="A10" s="33" t="str">
        <x:v>T02-10</x:v>
      </x:c>
      <x:c r="B10" s="33" t="str">
        <x:v>Inventory / Checkout</x:v>
      </x:c>
      <x:c r="C10" s="33" t="str">
        <x:v>Integration / API / SQL</x:v>
      </x:c>
      <x:c r="D10" s="33" t="str">
        <x:v>P0</x:v>
      </x:c>
      <x:c r="E10" s="33" t="str">
        <x:v>Buy 10 from stock 10</x:v>
      </x:c>
      <x:c r="F10" s="33" t="str">
        <x:v>SQL fixture ShoegroupAudit_20260909_fixed; API port 5100; synthetic test accounts; no real payment/email sent.</x:v>
      </x:c>
      <x:c r="G10" s="33" t="str">
        <x:v>Buy 10 from stock 10</x:v>
      </x:c>
      <x:c r="H10" s="33" t="str">
        <x:v>1) Chuẩn bị điều kiện: SQL fixture ShoegroupAudit_20260909_fixed; API port 5100; synthetic test accounts; no real payment/email sent. 2) Thực hiện scenario: Buy 10 from stock 10 3) Kiểm tra HTTP/UI/SQL/job side effects. 4) Đối chiếu với kết quả mong đợi và lưu evidence.</x:v>
      </x:c>
      <x:c r="I10" s="33" t="str">
        <x:v>200; deducted exactly once</x:v>
      </x:c>
      <x:c r="J10" s="33" t="str">
        <x:v>{"success":true,"orderId":88,"OrderID":88,"subtotalAmount":5000000,"shippingFee":75000,"discountAmount":0,"totalAmount":5075000,"shippingMethodCode":"STANDARD","shippingMethodId":1,"distanceKm":1720,"eta":"4-5 ngày"}</x:v>
      </x:c>
      <x:c r="K10" s="33" t="str">
        <x:v>PASS</x:v>
      </x:c>
      <x:c r="L10" s="33" t="str">
        <x:v>Automated / evidence</x:v>
      </x:c>
      <x:c r="M10" s="33" t="str">
        <x:v>2026-09-09</x:v>
      </x:c>
      <x:c r="N10" s="33" t="str">
        <x:v>Historical audit / QA evidence</x:v>
      </x:c>
      <x:c r="O10" s="33" t="str">
        <x:v>docs/audit/runtime-results.json; AUDIT-2026-09-09.md</x:v>
      </x:c>
      <x:c r="P10" s="33" t="str"/>
      <x:c r="Q10" s="33" t="str">
        <x:v>PASS theo bằng chứng lịch sử; không chạy lại trong lần tạo workbook này.</x:v>
      </x:c>
    </x:row>
    <x:row r="11" ht="72" customHeight="1">
      <x:c r="A11" s="33" t="str">
        <x:v>T03-0</x:v>
      </x:c>
      <x:c r="B11" s="33" t="str">
        <x:v>Inventory / Validation</x:v>
      </x:c>
      <x:c r="C11" s="33" t="str">
        <x:v>Integration / API / SQL</x:v>
      </x:c>
      <x:c r="D11" s="33" t="str">
        <x:v>P1</x:v>
      </x:c>
      <x:c r="E11" s="33" t="str">
        <x:v>Direct API quantity 0</x:v>
      </x:c>
      <x:c r="F11" s="33" t="str">
        <x:v>SQL fixture ShoegroupAudit_20260909_fixed; API port 5100; synthetic test accounts; no real payment/email sent.</x:v>
      </x:c>
      <x:c r="G11" s="33" t="str">
        <x:v>Direct API quantity 0</x:v>
      </x:c>
      <x:c r="H11" s="33" t="str">
        <x:v>1) Chuẩn bị điều kiện: SQL fixture ShoegroupAudit_20260909_fixed; API port 5100; synthetic test accounts; no real payment/email sent. 2) Thực hiện scenario: Direct API quantity 0 3) Kiểm tra HTTP/UI/SQL/job side effects. 4) Đối chiếu với kết quả mong đợi và lưu evidence.</x:v>
      </x:c>
      <x:c r="I11" s="33" t="str">
        <x:v>400/409; stock unchanged</x:v>
      </x:c>
      <x:c r="J11" s="33" t="str">
        <x:v>{"status":400,"data":{"success":false,"message":"San pham, bien the hoac so luong trong don khong hop le."}}</x:v>
      </x:c>
      <x:c r="K11" s="33" t="str">
        <x:v>PASS</x:v>
      </x:c>
      <x:c r="L11" s="33" t="str">
        <x:v>Automated / evidence</x:v>
      </x:c>
      <x:c r="M11" s="33" t="str">
        <x:v>2026-09-09</x:v>
      </x:c>
      <x:c r="N11" s="33" t="str">
        <x:v>Historical audit / QA evidence</x:v>
      </x:c>
      <x:c r="O11" s="33" t="str">
        <x:v>docs/audit/runtime-results.json; AUDIT-2026-09-09.md</x:v>
      </x:c>
      <x:c r="P11" s="33" t="str"/>
      <x:c r="Q11" s="33" t="str">
        <x:v>PASS theo bằng chứng lịch sử; không chạy lại trong lần tạo workbook này.</x:v>
      </x:c>
    </x:row>
    <x:row r="12" ht="72" customHeight="1">
      <x:c r="A12" s="33" t="str">
        <x:v>T03--1</x:v>
      </x:c>
      <x:c r="B12" s="33" t="str">
        <x:v>Inventory / Validation</x:v>
      </x:c>
      <x:c r="C12" s="33" t="str">
        <x:v>Integration / API / SQL</x:v>
      </x:c>
      <x:c r="D12" s="33" t="str">
        <x:v>P1</x:v>
      </x:c>
      <x:c r="E12" s="33" t="str">
        <x:v>Direct API quantity -1</x:v>
      </x:c>
      <x:c r="F12" s="33" t="str">
        <x:v>SQL fixture ShoegroupAudit_20260909_fixed; API port 5100; synthetic test accounts; no real payment/email sent.</x:v>
      </x:c>
      <x:c r="G12" s="33" t="str">
        <x:v>Direct API quantity -1</x:v>
      </x:c>
      <x:c r="H12" s="33" t="str">
        <x:v>1) Chuẩn bị điều kiện: SQL fixture ShoegroupAudit_20260909_fixed; API port 5100; synthetic test accounts; no real payment/email sent. 2) Thực hiện scenario: Direct API quantity -1 3) Kiểm tra HTTP/UI/SQL/job side effects. 4) Đối chiếu với kết quả mong đợi và lưu evidence.</x:v>
      </x:c>
      <x:c r="I12" s="33" t="str">
        <x:v>400/409; stock unchanged</x:v>
      </x:c>
      <x:c r="J12" s="33" t="str">
        <x:v>{"status":400,"data":{"success":false,"message":"San pham, bien the hoac so luong trong don khong hop le."}}</x:v>
      </x:c>
      <x:c r="K12" s="33" t="str">
        <x:v>PASS</x:v>
      </x:c>
      <x:c r="L12" s="33" t="str">
        <x:v>Automated / evidence</x:v>
      </x:c>
      <x:c r="M12" s="33" t="str">
        <x:v>2026-09-09</x:v>
      </x:c>
      <x:c r="N12" s="33" t="str">
        <x:v>Historical audit / QA evidence</x:v>
      </x:c>
      <x:c r="O12" s="33" t="str">
        <x:v>docs/audit/runtime-results.json; AUDIT-2026-09-09.md</x:v>
      </x:c>
      <x:c r="P12" s="33" t="str"/>
      <x:c r="Q12" s="33" t="str">
        <x:v>PASS theo bằng chứng lịch sử; không chạy lại trong lần tạo workbook này.</x:v>
      </x:c>
    </x:row>
    <x:row r="13" ht="72" customHeight="1">
      <x:c r="A13" s="33" t="str">
        <x:v>T03-999999</x:v>
      </x:c>
      <x:c r="B13" s="33" t="str">
        <x:v>Inventory / Validation</x:v>
      </x:c>
      <x:c r="C13" s="33" t="str">
        <x:v>Integration / API / SQL</x:v>
      </x:c>
      <x:c r="D13" s="33" t="str">
        <x:v>P1</x:v>
      </x:c>
      <x:c r="E13" s="33" t="str">
        <x:v>Direct API quantity 999999</x:v>
      </x:c>
      <x:c r="F13" s="33" t="str">
        <x:v>SQL fixture ShoegroupAudit_20260909_fixed; API port 5100; synthetic test accounts; no real payment/email sent.</x:v>
      </x:c>
      <x:c r="G13" s="33" t="str">
        <x:v>Direct API quantity 999999</x:v>
      </x:c>
      <x:c r="H13" s="33" t="str">
        <x:v>1) Chuẩn bị điều kiện: SQL fixture ShoegroupAudit_20260909_fixed; API port 5100; synthetic test accounts; no real payment/email sent. 2) Thực hiện scenario: Direct API quantity 999999 3) Kiểm tra HTTP/UI/SQL/job side effects. 4) Đối chiếu với kết quả mong đợi và lưu evidence.</x:v>
      </x:c>
      <x:c r="I13" s="33" t="str">
        <x:v>400/409; stock unchanged</x:v>
      </x:c>
      <x:c r="J13" s="33" t="str">
        <x:v>{"status":409,"data":{"success":false,"message":"Biến thể vừa hết hàng hoặc không đủ số lượng.","code":"STOCK_UNAVAILABLE"}}</x:v>
      </x:c>
      <x:c r="K13" s="33" t="str">
        <x:v>PASS</x:v>
      </x:c>
      <x:c r="L13" s="33" t="str">
        <x:v>Automated / evidence</x:v>
      </x:c>
      <x:c r="M13" s="33" t="str">
        <x:v>2026-09-09</x:v>
      </x:c>
      <x:c r="N13" s="33" t="str">
        <x:v>Historical audit / QA evidence</x:v>
      </x:c>
      <x:c r="O13" s="33" t="str">
        <x:v>docs/audit/runtime-results.json; AUDIT-2026-09-09.md</x:v>
      </x:c>
      <x:c r="P13" s="33" t="str"/>
      <x:c r="Q13" s="33" t="str">
        <x:v>PASS theo bằng chứng lịch sử; không chạy lại trong lần tạo workbook này.</x:v>
      </x:c>
    </x:row>
    <x:row r="14" ht="72" customHeight="1">
      <x:c r="A14" s="33" t="str">
        <x:v>T03-1.5</x:v>
      </x:c>
      <x:c r="B14" s="33" t="str">
        <x:v>Inventory / Validation</x:v>
      </x:c>
      <x:c r="C14" s="33" t="str">
        <x:v>Integration / API / SQL</x:v>
      </x:c>
      <x:c r="D14" s="33" t="str">
        <x:v>P1</x:v>
      </x:c>
      <x:c r="E14" s="33" t="str">
        <x:v>Direct API quantity 1.5</x:v>
      </x:c>
      <x:c r="F14" s="33" t="str">
        <x:v>SQL fixture ShoegroupAudit_20260909_fixed; API port 5100; synthetic test accounts; no real payment/email sent.</x:v>
      </x:c>
      <x:c r="G14" s="33" t="str">
        <x:v>Direct API quantity 1.5</x:v>
      </x:c>
      <x:c r="H14" s="33" t="str">
        <x:v>1) Chuẩn bị điều kiện: SQL fixture ShoegroupAudit_20260909_fixed; API port 5100; synthetic test accounts; no real payment/email sent. 2) Thực hiện scenario: Direct API quantity 1.5 3) Kiểm tra HTTP/UI/SQL/job side effects. 4) Đối chiếu với kết quả mong đợi và lưu evidence.</x:v>
      </x:c>
      <x:c r="I14" s="33" t="str">
        <x:v>400/409; stock unchanged</x:v>
      </x:c>
      <x:c r="J14" s="33" t="str">
        <x:v>{"status":400,"data":{"success":false,"message":"San pham, bien the hoac so luong trong don khong hop le."}}</x:v>
      </x:c>
      <x:c r="K14" s="33" t="str">
        <x:v>PASS</x:v>
      </x:c>
      <x:c r="L14" s="33" t="str">
        <x:v>Automated / evidence</x:v>
      </x:c>
      <x:c r="M14" s="33" t="str">
        <x:v>2026-09-09</x:v>
      </x:c>
      <x:c r="N14" s="33" t="str">
        <x:v>Historical audit / QA evidence</x:v>
      </x:c>
      <x:c r="O14" s="33" t="str">
        <x:v>docs/audit/runtime-results.json; AUDIT-2026-09-09.md</x:v>
      </x:c>
      <x:c r="P14" s="33" t="str"/>
      <x:c r="Q14" s="33" t="str">
        <x:v>PASS theo bằng chứng lịch sử; không chạy lại trong lần tạo workbook này.</x:v>
      </x:c>
    </x:row>
    <x:row r="15" ht="72" customHeight="1">
      <x:c r="A15" s="33" t="str">
        <x:v>T04</x:v>
      </x:c>
      <x:c r="B15" s="33" t="str">
        <x:v>Product / Checkout</x:v>
      </x:c>
      <x:c r="C15" s="33" t="str">
        <x:v>Integration / API / SQL</x:v>
      </x:c>
      <x:c r="D15" s="33" t="str">
        <x:v>P1</x:v>
      </x:c>
      <x:c r="E15" s="33" t="str">
        <x:v>Unknown product and empty order</x:v>
      </x:c>
      <x:c r="F15" s="33" t="str">
        <x:v>SQL fixture ShoegroupAudit_20260909_fixed; API port 5100; synthetic test accounts; no real payment/email sent.</x:v>
      </x:c>
      <x:c r="G15" s="33" t="str">
        <x:v>Unknown product and empty order</x:v>
      </x:c>
      <x:c r="H15" s="33" t="str">
        <x:v>1) Chuẩn bị điều kiện: SQL fixture ShoegroupAudit_20260909_fixed; API port 5100; synthetic test accounts; no real payment/email sent. 2) Thực hiện scenario: Unknown product and empty order 3) Kiểm tra HTTP/UI/SQL/job side effects. 4) Đối chiếu với kết quả mong đợi và lưu evidence.</x:v>
      </x:c>
      <x:c r="I15" s="33" t="str">
        <x:v>409/400</x:v>
      </x:c>
      <x:c r="J15" s="33" t="str">
        <x:v>[{"status":409,"data":{"success":false,"message":"San pham hoac bien the khong con duoc kinh doanh."}},{"status":400,"data":{"success":false,"message":"Don hang khong co san pham."}}]</x:v>
      </x:c>
      <x:c r="K15" s="33" t="str">
        <x:v>PASS</x:v>
      </x:c>
      <x:c r="L15" s="33" t="str">
        <x:v>Automated / evidence</x:v>
      </x:c>
      <x:c r="M15" s="33" t="str">
        <x:v>2026-09-09</x:v>
      </x:c>
      <x:c r="N15" s="33" t="str">
        <x:v>Historical audit / QA evidence</x:v>
      </x:c>
      <x:c r="O15" s="33" t="str">
        <x:v>docs/audit/runtime-results.json; AUDIT-2026-09-09.md</x:v>
      </x:c>
      <x:c r="P15" s="33" t="str"/>
      <x:c r="Q15" s="33" t="str">
        <x:v>PASS theo bằng chứng lịch sử; không chạy lại trong lần tạo workbook này.</x:v>
      </x:c>
    </x:row>
    <x:row r="16" ht="72" customHeight="1">
      <x:c r="A16" s="33" t="str">
        <x:v>T05</x:v>
      </x:c>
      <x:c r="B16" s="33" t="str">
        <x:v>Product / Inventory</x:v>
      </x:c>
      <x:c r="C16" s="33" t="str">
        <x:v>Integration / API / SQL</x:v>
      </x:c>
      <x:c r="D16" s="33" t="str">
        <x:v>P1</x:v>
      </x:c>
      <x:c r="E16" s="33" t="str">
        <x:v>Disabled product or variant</x:v>
      </x:c>
      <x:c r="F16" s="33" t="str">
        <x:v>SQL fixture ShoegroupAudit_20260909_fixed; API port 5100; synthetic test accounts; no real payment/email sent.</x:v>
      </x:c>
      <x:c r="G16" s="33" t="str">
        <x:v>Disabled product or variant</x:v>
      </x:c>
      <x:c r="H16" s="33" t="str">
        <x:v>1) Chuẩn bị điều kiện: SQL fixture ShoegroupAudit_20260909_fixed; API port 5100; synthetic test accounts; no real payment/email sent. 2) Thực hiện scenario: Disabled product or variant 3) Kiểm tra HTTP/UI/SQL/job side effects. 4) Đối chiếu với kết quả mong đợi và lưu evidence.</x:v>
      </x:c>
      <x:c r="I16" s="33" t="str">
        <x:v>409</x:v>
      </x:c>
      <x:c r="J16" s="33" t="str">
        <x:v>[{"status":409,"data":{"success":false,"message":"San pham hoac bien the khong con duoc kinh doanh."}},{"status":409,"data":{"success":false,"message":"San pham hoac bien the khong con duoc kinh doanh."}}]</x:v>
      </x:c>
      <x:c r="K16" s="33" t="str">
        <x:v>PASS</x:v>
      </x:c>
      <x:c r="L16" s="33" t="str">
        <x:v>Automated / evidence</x:v>
      </x:c>
      <x:c r="M16" s="33" t="str">
        <x:v>2026-09-09</x:v>
      </x:c>
      <x:c r="N16" s="33" t="str">
        <x:v>Historical audit / QA evidence</x:v>
      </x:c>
      <x:c r="O16" s="33" t="str">
        <x:v>docs/audit/runtime-results.json; AUDIT-2026-09-09.md</x:v>
      </x:c>
      <x:c r="P16" s="33" t="str"/>
      <x:c r="Q16" s="33" t="str">
        <x:v>PASS theo bằng chứng lịch sử; không chạy lại trong lần tạo workbook này.</x:v>
      </x:c>
    </x:row>
    <x:row r="17" ht="72" customHeight="1">
      <x:c r="A17" s="33" t="str">
        <x:v>T06</x:v>
      </x:c>
      <x:c r="B17" s="33" t="str">
        <x:v>Checkout / Pricing</x:v>
      </x:c>
      <x:c r="C17" s="33" t="str">
        <x:v>Integration / API / SQL</x:v>
      </x:c>
      <x:c r="D17" s="33" t="str">
        <x:v>P1</x:v>
      </x:c>
      <x:c r="E17" s="33" t="str">
        <x:v>Client price/total/discount/shipping tampering</x:v>
      </x:c>
      <x:c r="F17" s="33" t="str">
        <x:v>SQL fixture ShoegroupAudit_20260909_fixed; API port 5100; synthetic test accounts; no real payment/email sent.</x:v>
      </x:c>
      <x:c r="G17" s="33" t="str">
        <x:v>Client price/total/discount/shipping tampering</x:v>
      </x:c>
      <x:c r="H17" s="33" t="str">
        <x:v>1) Chuẩn bị điều kiện: SQL fixture ShoegroupAudit_20260909_fixed; API port 5100; synthetic test accounts; no real payment/email sent. 2) Thực hiện scenario: Client price/total/discount/shipping tampering 3) Kiểm tra HTTP/UI/SQL/job side effects. 4) Đối chiếu với kết quả mong đợi và lưu evidence.</x:v>
      </x:c>
      <x:c r="I17" s="33" t="str">
        <x:v>500k item plus server shipping</x:v>
      </x:c>
      <x:c r="J17" s="33" t="str">
        <x:v>{"success":true,"orderId":90,"OrderID":90,"subtotalAmount":500000,"shippingFee":75000,"discountAmount":0,"totalAmount":575000,"shippingMethodCode":"STANDARD","shippingMethodId":1,"distanceKm":1720,"eta":"4-5 ngày"}</x:v>
      </x:c>
      <x:c r="K17" s="33" t="str">
        <x:v>PASS</x:v>
      </x:c>
      <x:c r="L17" s="33" t="str">
        <x:v>Automated / evidence</x:v>
      </x:c>
      <x:c r="M17" s="33" t="str">
        <x:v>2026-09-09</x:v>
      </x:c>
      <x:c r="N17" s="33" t="str">
        <x:v>Historical audit / QA evidence</x:v>
      </x:c>
      <x:c r="O17" s="33" t="str">
        <x:v>docs/audit/runtime-results.json; AUDIT-2026-09-09.md</x:v>
      </x:c>
      <x:c r="P17" s="33" t="str"/>
      <x:c r="Q17" s="33" t="str">
        <x:v>PASS theo bằng chứng lịch sử; không chạy lại trong lần tạo workbook này.</x:v>
      </x:c>
    </x:row>
    <x:row r="18" ht="72" customHeight="1">
      <x:c r="A18" s="33" t="str">
        <x:v>T07</x:v>
      </x:c>
      <x:c r="B18" s="33" t="str">
        <x:v>Promotion / Order</x:v>
      </x:c>
      <x:c r="C18" s="33" t="str">
        <x:v>Integration / API / SQL</x:v>
      </x:c>
      <x:c r="D18" s="33" t="str">
        <x:v>P1</x:v>
      </x:c>
      <x:c r="E18" s="33" t="str">
        <x:v>Price snapshot survives price edit/sale end</x:v>
      </x:c>
      <x:c r="F18" s="33" t="str">
        <x:v>SQL fixture ShoegroupAudit_20260909_fixed; API port 5100; synthetic test accounts; no real payment/email sent.</x:v>
      </x:c>
      <x:c r="G18" s="33" t="str">
        <x:v>Price snapshot survives price edit/sale end</x:v>
      </x:c>
      <x:c r="H18" s="33" t="str">
        <x:v>1) Chuẩn bị điều kiện: SQL fixture ShoegroupAudit_20260909_fixed; API port 5100; synthetic test accounts; no real payment/email sent. 2) Thực hiện scenario: Price snapshot survives price edit/sale end 3) Kiểm tra HTTP/UI/SQL/job side effects. 4) Đối chiếu với kết quả mong đợi và lưu evidence.</x:v>
      </x:c>
      <x:c r="I18" s="33" t="str">
        <x:v>UnitPrice at order creation stays 500k</x:v>
      </x:c>
      <x:c r="J18" s="33" t="str">
        <x:v>[{"UnitPrice":500000}]</x:v>
      </x:c>
      <x:c r="K18" s="33" t="str">
        <x:v>PASS</x:v>
      </x:c>
      <x:c r="L18" s="33" t="str">
        <x:v>Automated / evidence</x:v>
      </x:c>
      <x:c r="M18" s="33" t="str">
        <x:v>2026-09-09</x:v>
      </x:c>
      <x:c r="N18" s="33" t="str">
        <x:v>Historical audit / QA evidence</x:v>
      </x:c>
      <x:c r="O18" s="33" t="str">
        <x:v>docs/audit/runtime-results.json; AUDIT-2026-09-09.md</x:v>
      </x:c>
      <x:c r="P18" s="33" t="str"/>
      <x:c r="Q18" s="33" t="str">
        <x:v>PASS theo bằng chứng lịch sử; không chạy lại trong lần tạo workbook này.</x:v>
      </x:c>
    </x:row>
    <x:row r="19" ht="72" customHeight="1">
      <x:c r="A19" s="33" t="str">
        <x:v>T08-2</x:v>
      </x:c>
      <x:c r="B19" s="33" t="str">
        <x:v>Inventory / Concurrency</x:v>
      </x:c>
      <x:c r="C19" s="33" t="str">
        <x:v>Integration / API / SQL</x:v>
      </x:c>
      <x:c r="D19" s="33" t="str">
        <x:v>P1</x:v>
      </x:c>
      <x:c r="E19" s="33" t="str">
        <x:v>2 different users buy last SKU</x:v>
      </x:c>
      <x:c r="F19" s="33" t="str">
        <x:v>SQL fixture ShoegroupAudit_20260909_fixed; API port 5100; synthetic test accounts; no real payment/email sent.</x:v>
      </x:c>
      <x:c r="G19" s="33" t="str">
        <x:v>2 different users buy last SKU</x:v>
      </x:c>
      <x:c r="H19" s="33" t="str">
        <x:v>1) Chuẩn bị điều kiện: SQL fixture ShoegroupAudit_20260909_fixed; API port 5100; synthetic test accounts; no real payment/email sent. 2) Thực hiện scenario: 2 different users buy last SKU 3) Kiểm tra HTTP/UI/SQL/job side effects. 4) Đối chiếu với kết quả mong đợi và lưu evidence.</x:v>
      </x:c>
      <x:c r="I19" s="33" t="str">
        <x:v>one success, others 409, stock zero, one item</x:v>
      </x:c>
      <x:c r="J19" s="33" t="str">
        <x:v>[200,409]</x:v>
      </x:c>
      <x:c r="K19" s="33" t="str">
        <x:v>PASS</x:v>
      </x:c>
      <x:c r="L19" s="33" t="str">
        <x:v>Automated / evidence</x:v>
      </x:c>
      <x:c r="M19" s="33" t="str">
        <x:v>2026-09-09</x:v>
      </x:c>
      <x:c r="N19" s="33" t="str">
        <x:v>Historical audit / QA evidence</x:v>
      </x:c>
      <x:c r="O19" s="33" t="str">
        <x:v>docs/audit/runtime-results.json; AUDIT-2026-09-09.md</x:v>
      </x:c>
      <x:c r="P19" s="33" t="str"/>
      <x:c r="Q19" s="33" t="str">
        <x:v>PASS theo bằng chứng lịch sử; không chạy lại trong lần tạo workbook này.</x:v>
      </x:c>
    </x:row>
    <x:row r="20" ht="72" customHeight="1">
      <x:c r="A20" s="33" t="str">
        <x:v>T08-5</x:v>
      </x:c>
      <x:c r="B20" s="33" t="str">
        <x:v>Inventory / Concurrency</x:v>
      </x:c>
      <x:c r="C20" s="33" t="str">
        <x:v>Integration / API / SQL</x:v>
      </x:c>
      <x:c r="D20" s="33" t="str">
        <x:v>P1</x:v>
      </x:c>
      <x:c r="E20" s="33" t="str">
        <x:v>5 different users buy last SKU</x:v>
      </x:c>
      <x:c r="F20" s="33" t="str">
        <x:v>SQL fixture ShoegroupAudit_20260909_fixed; API port 5100; synthetic test accounts; no real payment/email sent.</x:v>
      </x:c>
      <x:c r="G20" s="33" t="str">
        <x:v>5 different users buy last SKU</x:v>
      </x:c>
      <x:c r="H20" s="33" t="str">
        <x:v>1) Chuẩn bị điều kiện: SQL fixture ShoegroupAudit_20260909_fixed; API port 5100; synthetic test accounts; no real payment/email sent. 2) Thực hiện scenario: 5 different users buy last SKU 3) Kiểm tra HTTP/UI/SQL/job side effects. 4) Đối chiếu với kết quả mong đợi và lưu evidence.</x:v>
      </x:c>
      <x:c r="I20" s="33" t="str">
        <x:v>one success, others 409, stock zero, one item</x:v>
      </x:c>
      <x:c r="J20" s="33" t="str">
        <x:v>[200,409,409,409,409]</x:v>
      </x:c>
      <x:c r="K20" s="33" t="str">
        <x:v>PASS</x:v>
      </x:c>
      <x:c r="L20" s="33" t="str">
        <x:v>Automated / evidence</x:v>
      </x:c>
      <x:c r="M20" s="33" t="str">
        <x:v>2026-09-09</x:v>
      </x:c>
      <x:c r="N20" s="33" t="str">
        <x:v>Historical audit / QA evidence</x:v>
      </x:c>
      <x:c r="O20" s="33" t="str">
        <x:v>docs/audit/runtime-results.json; AUDIT-2026-09-09.md</x:v>
      </x:c>
      <x:c r="P20" s="33" t="str"/>
      <x:c r="Q20" s="33" t="str">
        <x:v>PASS theo bằng chứng lịch sử; không chạy lại trong lần tạo workbook này.</x:v>
      </x:c>
    </x:row>
    <x:row r="21" ht="72" customHeight="1">
      <x:c r="A21" s="33" t="str">
        <x:v>T08-10</x:v>
      </x:c>
      <x:c r="B21" s="33" t="str">
        <x:v>Inventory / Concurrency</x:v>
      </x:c>
      <x:c r="C21" s="33" t="str">
        <x:v>Integration / API / SQL</x:v>
      </x:c>
      <x:c r="D21" s="33" t="str">
        <x:v>P1</x:v>
      </x:c>
      <x:c r="E21" s="33" t="str">
        <x:v>10 different users buy last SKU</x:v>
      </x:c>
      <x:c r="F21" s="33" t="str">
        <x:v>SQL fixture ShoegroupAudit_20260909_fixed; API port 5100; synthetic test accounts; no real payment/email sent.</x:v>
      </x:c>
      <x:c r="G21" s="33" t="str">
        <x:v>10 different users buy last SKU</x:v>
      </x:c>
      <x:c r="H21" s="33" t="str">
        <x:v>1) Chuẩn bị điều kiện: SQL fixture ShoegroupAudit_20260909_fixed; API port 5100; synthetic test accounts; no real payment/email sent. 2) Thực hiện scenario: 10 different users buy last SKU 3) Kiểm tra HTTP/UI/SQL/job side effects. 4) Đối chiếu với kết quả mong đợi và lưu evidence.</x:v>
      </x:c>
      <x:c r="I21" s="33" t="str">
        <x:v>one success, others 409, stock zero, one item</x:v>
      </x:c>
      <x:c r="J21" s="33" t="str">
        <x:v>[409,200,409,409,409,409,409,409,409,409]</x:v>
      </x:c>
      <x:c r="K21" s="33" t="str">
        <x:v>PASS</x:v>
      </x:c>
      <x:c r="L21" s="33" t="str">
        <x:v>Automated / evidence</x:v>
      </x:c>
      <x:c r="M21" s="33" t="str">
        <x:v>2026-09-09</x:v>
      </x:c>
      <x:c r="N21" s="33" t="str">
        <x:v>Historical audit / QA evidence</x:v>
      </x:c>
      <x:c r="O21" s="33" t="str">
        <x:v>docs/audit/runtime-results.json; AUDIT-2026-09-09.md</x:v>
      </x:c>
      <x:c r="P21" s="33" t="str"/>
      <x:c r="Q21" s="33" t="str">
        <x:v>PASS theo bằng chứng lịch sử; không chạy lại trong lần tạo workbook này.</x:v>
      </x:c>
    </x:row>
    <x:row r="22" ht="72" customHeight="1">
      <x:c r="A22" s="33" t="str">
        <x:v>T09</x:v>
      </x:c>
      <x:c r="B22" s="33" t="str">
        <x:v>Checkout / Idempotency</x:v>
      </x:c>
      <x:c r="C22" s="33" t="str">
        <x:v>Integration / API / SQL</x:v>
      </x:c>
      <x:c r="D22" s="33" t="str">
        <x:v>P1</x:v>
      </x:c>
      <x:c r="E22" s="33" t="str">
        <x:v>Repeated same checkout key</x:v>
      </x:c>
      <x:c r="F22" s="33" t="str">
        <x:v>SQL fixture ShoegroupAudit_20260909_fixed; API port 5100; synthetic test accounts; no real payment/email sent.</x:v>
      </x:c>
      <x:c r="G22" s="33" t="str">
        <x:v>Repeated same checkout key</x:v>
      </x:c>
      <x:c r="H22" s="33" t="str">
        <x:v>1) Chuẩn bị điều kiện: SQL fixture ShoegroupAudit_20260909_fixed; API port 5100; synthetic test accounts; no real payment/email sent. 2) Thực hiện scenario: Repeated same checkout key 3) Kiểm tra HTTP/UI/SQL/job side effects. 4) Đối chiếu với kết quả mong đợi và lưu evidence.</x:v>
      </x:c>
      <x:c r="I22" s="33" t="str">
        <x:v>same order ID; inventory decremented once</x:v>
      </x:c>
      <x:c r="J22" s="33" t="str">
        <x:v>[109,109]</x:v>
      </x:c>
      <x:c r="K22" s="33" t="str">
        <x:v>PASS</x:v>
      </x:c>
      <x:c r="L22" s="33" t="str">
        <x:v>Automated / evidence</x:v>
      </x:c>
      <x:c r="M22" s="33" t="str">
        <x:v>2026-09-09</x:v>
      </x:c>
      <x:c r="N22" s="33" t="str">
        <x:v>Historical audit / QA evidence</x:v>
      </x:c>
      <x:c r="O22" s="33" t="str">
        <x:v>docs/audit/runtime-results.json; AUDIT-2026-09-09.md</x:v>
      </x:c>
      <x:c r="P22" s="33" t="str"/>
      <x:c r="Q22" s="33" t="str">
        <x:v>PASS theo bằng chứng lịch sử; không chạy lại trong lần tạo workbook này.</x:v>
      </x:c>
    </x:row>
    <x:row r="23" ht="72" customHeight="1">
      <x:c r="A23" s="33" t="str">
        <x:v>T10</x:v>
      </x:c>
      <x:c r="B23" s="33" t="str">
        <x:v>Checkout / Concurrency</x:v>
      </x:c>
      <x:c r="C23" s="33" t="str">
        <x:v>Integration / API / SQL</x:v>
      </x:c>
      <x:c r="D23" s="33" t="str">
        <x:v>P1</x:v>
      </x:c>
      <x:c r="E23" s="33" t="str">
        <x:v>10 parallel retries same checkout key</x:v>
      </x:c>
      <x:c r="F23" s="33" t="str">
        <x:v>SQL fixture ShoegroupAudit_20260909_fixed; API port 5100; synthetic test accounts; no real payment/email sent.</x:v>
      </x:c>
      <x:c r="G23" s="33" t="str">
        <x:v>10 parallel retries same checkout key</x:v>
      </x:c>
      <x:c r="H23" s="33" t="str">
        <x:v>1) Chuẩn bị điều kiện: SQL fixture ShoegroupAudit_20260909_fixed; API port 5100; synthetic test accounts; no real payment/email sent. 2) Thực hiện scenario: 10 parallel retries same checkout key 3) Kiểm tra HTTP/UI/SQL/job side effects. 4) Đối chiếu với kết quả mong đợi và lưu evidence.</x:v>
      </x:c>
      <x:c r="I23" s="33" t="str">
        <x:v>all same order ID, stock decremented once</x:v>
      </x:c>
      <x:c r="J23" s="33" t="str">
        <x:v>[110,110,110,110,110,110,110,110,110,110]</x:v>
      </x:c>
      <x:c r="K23" s="33" t="str">
        <x:v>PASS</x:v>
      </x:c>
      <x:c r="L23" s="33" t="str">
        <x:v>Automated / evidence</x:v>
      </x:c>
      <x:c r="M23" s="33" t="str">
        <x:v>2026-09-09</x:v>
      </x:c>
      <x:c r="N23" s="33" t="str">
        <x:v>Historical audit / QA evidence</x:v>
      </x:c>
      <x:c r="O23" s="33" t="str">
        <x:v>docs/audit/runtime-results.json; AUDIT-2026-09-09.md</x:v>
      </x:c>
      <x:c r="P23" s="33" t="str"/>
      <x:c r="Q23" s="33" t="str">
        <x:v>PASS theo bằng chứng lịch sử; không chạy lại trong lần tạo workbook này.</x:v>
      </x:c>
    </x:row>
    <x:row r="24" ht="72" customHeight="1">
      <x:c r="A24" s="33" t="str">
        <x:v>T11</x:v>
      </x:c>
      <x:c r="B24" s="33" t="str">
        <x:v>Checkout / Idempotency</x:v>
      </x:c>
      <x:c r="C24" s="33" t="str">
        <x:v>Integration / API / SQL</x:v>
      </x:c>
      <x:c r="D24" s="33" t="str">
        <x:v>P1</x:v>
      </x:c>
      <x:c r="E24" s="33" t="str">
        <x:v>Same key different payload</x:v>
      </x:c>
      <x:c r="F24" s="33" t="str">
        <x:v>SQL fixture ShoegroupAudit_20260909_fixed; API port 5100; synthetic test accounts; no real payment/email sent.</x:v>
      </x:c>
      <x:c r="G24" s="33" t="str">
        <x:v>Same key different payload</x:v>
      </x:c>
      <x:c r="H24" s="33" t="str">
        <x:v>1) Chuẩn bị điều kiện: SQL fixture ShoegroupAudit_20260909_fixed; API port 5100; synthetic test accounts; no real payment/email sent. 2) Thực hiện scenario: Same key different payload 3) Kiểm tra HTTP/UI/SQL/job side effects. 4) Đối chiếu với kết quả mong đợi và lưu evidence.</x:v>
      </x:c>
      <x:c r="I24" s="33" t="str">
        <x:v>409 conflict</x:v>
      </x:c>
      <x:c r="J24" s="33" t="str">
        <x:v>{"status":409,"data":{"success":false,"message":"Idempotency-Key đã được dùng cho nội dung đặt hàng khác.","code":"IDEMPOTENCY_CONFLICT"}}</x:v>
      </x:c>
      <x:c r="K24" s="33" t="str">
        <x:v>PASS</x:v>
      </x:c>
      <x:c r="L24" s="33" t="str">
        <x:v>Automated / evidence</x:v>
      </x:c>
      <x:c r="M24" s="33" t="str">
        <x:v>2026-09-09</x:v>
      </x:c>
      <x:c r="N24" s="33" t="str">
        <x:v>Historical audit / QA evidence</x:v>
      </x:c>
      <x:c r="O24" s="33" t="str">
        <x:v>docs/audit/runtime-results.json; AUDIT-2026-09-09.md</x:v>
      </x:c>
      <x:c r="P24" s="33" t="str"/>
      <x:c r="Q24" s="33" t="str">
        <x:v>PASS theo bằng chứng lịch sử; không chạy lại trong lần tạo workbook này.</x:v>
      </x:c>
    </x:row>
    <x:row r="25" ht="72" customHeight="1">
      <x:c r="A25" s="33" t="str">
        <x:v>T12</x:v>
      </x:c>
      <x:c r="B25" s="33" t="str">
        <x:v>Coupon</x:v>
      </x:c>
      <x:c r="C25" s="33" t="str">
        <x:v>Integration / API / SQL</x:v>
      </x:c>
      <x:c r="D25" s="33" t="str">
        <x:v>P1</x:v>
      </x:c>
      <x:c r="E25" s="33" t="str">
        <x:v>Two users campaign one-time coupon</x:v>
      </x:c>
      <x:c r="F25" s="33" t="str">
        <x:v>SQL fixture ShoegroupAudit_20260909_fixed; API port 5100; synthetic test accounts; no real payment/email sent.</x:v>
      </x:c>
      <x:c r="G25" s="33" t="str">
        <x:v>Two users campaign one-time coupon</x:v>
      </x:c>
      <x:c r="H25" s="33" t="str">
        <x:v>1) Chuẩn bị điều kiện: SQL fixture ShoegroupAudit_20260909_fixed; API port 5100; synthetic test accounts; no real payment/email sent. 2) Thực hiện scenario: Two users campaign one-time coupon 3) Kiểm tra HTTP/UI/SQL/job side effects. 4) Đối chiếu với kết quả mong đợi và lưu evidence.</x:v>
      </x:c>
      <x:c r="I25" s="33" t="str">
        <x:v>one success, one 409, counter 1</x:v>
      </x:c>
      <x:c r="J25" s="33" t="str">
        <x:v>[409,200]</x:v>
      </x:c>
      <x:c r="K25" s="33" t="str">
        <x:v>PASS</x:v>
      </x:c>
      <x:c r="L25" s="33" t="str">
        <x:v>Automated / evidence</x:v>
      </x:c>
      <x:c r="M25" s="33" t="str">
        <x:v>2026-09-09</x:v>
      </x:c>
      <x:c r="N25" s="33" t="str">
        <x:v>Historical audit / QA evidence</x:v>
      </x:c>
      <x:c r="O25" s="33" t="str">
        <x:v>docs/audit/runtime-results.json; AUDIT-2026-09-09.md</x:v>
      </x:c>
      <x:c r="P25" s="33" t="str"/>
      <x:c r="Q25" s="33" t="str">
        <x:v>PASS theo bằng chứng lịch sử; không chạy lại trong lần tạo workbook này.</x:v>
      </x:c>
    </x:row>
    <x:row r="26" ht="72" customHeight="1">
      <x:c r="A26" s="33" t="str">
        <x:v>T13</x:v>
      </x:c>
      <x:c r="B26" s="33" t="str">
        <x:v>Coupon</x:v>
      </x:c>
      <x:c r="C26" s="33" t="str">
        <x:v>Integration / API / SQL</x:v>
      </x:c>
      <x:c r="D26" s="33" t="str">
        <x:v>P1</x:v>
      </x:c>
      <x:c r="E26" s="33" t="str">
        <x:v>Same user concurrent PerUserLimit=1 coupon</x:v>
      </x:c>
      <x:c r="F26" s="33" t="str">
        <x:v>SQL fixture ShoegroupAudit_20260909_fixed; API port 5100; synthetic test accounts; no real payment/email sent.</x:v>
      </x:c>
      <x:c r="G26" s="33" t="str">
        <x:v>Same user concurrent PerUserLimit=1 coupon</x:v>
      </x:c>
      <x:c r="H26" s="33" t="str">
        <x:v>1) Chuẩn bị điều kiện: SQL fixture ShoegroupAudit_20260909_fixed; API port 5100; synthetic test accounts; no real payment/email sent. 2) Thực hiện scenario: Same user concurrent PerUserLimit=1 coupon 3) Kiểm tra HTTP/UI/SQL/job side effects. 4) Đối chiếu với kết quả mong đợi và lưu evidence.</x:v>
      </x:c>
      <x:c r="I26" s="33" t="str">
        <x:v>one success, one 409</x:v>
      </x:c>
      <x:c r="J26" s="33" t="str">
        <x:v>[409,200]</x:v>
      </x:c>
      <x:c r="K26" s="33" t="str">
        <x:v>PASS</x:v>
      </x:c>
      <x:c r="L26" s="33" t="str">
        <x:v>Automated / evidence</x:v>
      </x:c>
      <x:c r="M26" s="33" t="str">
        <x:v>2026-09-09</x:v>
      </x:c>
      <x:c r="N26" s="33" t="str">
        <x:v>Historical audit / QA evidence</x:v>
      </x:c>
      <x:c r="O26" s="33" t="str">
        <x:v>docs/audit/runtime-results.json; AUDIT-2026-09-09.md</x:v>
      </x:c>
      <x:c r="P26" s="33" t="str"/>
      <x:c r="Q26" s="33" t="str">
        <x:v>PASS theo bằng chứng lịch sử; không chạy lại trong lần tạo workbook này.</x:v>
      </x:c>
    </x:row>
    <x:row r="27" ht="72" customHeight="1">
      <x:c r="A27" s="33" t="str">
        <x:v>T14</x:v>
      </x:c>
      <x:c r="B27" s="33" t="str">
        <x:v>Coupon</x:v>
      </x:c>
      <x:c r="C27" s="33" t="str">
        <x:v>Integration / API / SQL</x:v>
      </x:c>
      <x:c r="D27" s="33" t="str">
        <x:v>P1</x:v>
      </x:c>
      <x:c r="E27" s="33" t="str">
        <x:v>Invalid/expired coupon</x:v>
      </x:c>
      <x:c r="F27" s="33" t="str">
        <x:v>SQL fixture ShoegroupAudit_20260909_fixed; API port 5100; synthetic test accounts; no real payment/email sent.</x:v>
      </x:c>
      <x:c r="G27" s="33" t="str">
        <x:v>Invalid/expired coupon</x:v>
      </x:c>
      <x:c r="H27" s="33" t="str">
        <x:v>1) Chuẩn bị điều kiện: SQL fixture ShoegroupAudit_20260909_fixed; API port 5100; synthetic test accounts; no real payment/email sent. 2) Thực hiện scenario: Invalid/expired coupon 3) Kiểm tra HTTP/UI/SQL/job side effects. 4) Đối chiếu với kết quả mong đợi và lưu evidence.</x:v>
      </x:c>
      <x:c r="I27" s="33" t="str">
        <x:v>409 stock unchanged</x:v>
      </x:c>
      <x:c r="J27" s="33" t="str">
        <x:v>[{"status":409,"data":{"success":false,"message":"Ma giam gia khong hop le hoac da het luot su dung."}},{"status":409,"data":{"success":false,"message":"Ma giam gia khong hop le hoac da het luot su dung."}}]</x:v>
      </x:c>
      <x:c r="K27" s="33" t="str">
        <x:v>PASS</x:v>
      </x:c>
      <x:c r="L27" s="33" t="str">
        <x:v>Automated / evidence</x:v>
      </x:c>
      <x:c r="M27" s="33" t="str">
        <x:v>2026-09-09</x:v>
      </x:c>
      <x:c r="N27" s="33" t="str">
        <x:v>Historical audit / QA evidence</x:v>
      </x:c>
      <x:c r="O27" s="33" t="str">
        <x:v>docs/audit/runtime-results.json; AUDIT-2026-09-09.md</x:v>
      </x:c>
      <x:c r="P27" s="33" t="str"/>
      <x:c r="Q27" s="33" t="str">
        <x:v>PASS theo bằng chứng lịch sử; không chạy lại trong lần tạo workbook này.</x:v>
      </x:c>
    </x:row>
    <x:row r="28" ht="72" customHeight="1">
      <x:c r="A28" s="33" t="str">
        <x:v>T15</x:v>
      </x:c>
      <x:c r="B28" s="33" t="str">
        <x:v>Order / Cancellation</x:v>
      </x:c>
      <x:c r="C28" s="33" t="str">
        <x:v>Integration / API / SQL</x:v>
      </x:c>
      <x:c r="D28" s="33" t="str">
        <x:v>P1</x:v>
      </x:c>
      <x:c r="E28" s="33" t="str">
        <x:v>Cancel and duplicate cancel</x:v>
      </x:c>
      <x:c r="F28" s="33" t="str">
        <x:v>SQL fixture ShoegroupAudit_20260909_fixed; API port 5100; synthetic test accounts; no real payment/email sent.</x:v>
      </x:c>
      <x:c r="G28" s="33" t="str">
        <x:v>Cancel and duplicate cancel</x:v>
      </x:c>
      <x:c r="H28" s="33" t="str">
        <x:v>1) Chuẩn bị điều kiện: SQL fixture ShoegroupAudit_20260909_fixed; API port 5100; synthetic test accounts; no real payment/email sent. 2) Thực hiện scenario: Cancel and duplicate cancel 3) Kiểm tra HTTP/UI/SQL/job side effects. 4) Đối chiếu với kết quả mong đợi và lưu evidence.</x:v>
      </x:c>
      <x:c r="I28" s="33" t="str">
        <x:v>stock restored once; repeated cancel succeeds unchanged</x:v>
      </x:c>
      <x:c r="J28" s="33" t="str">
        <x:v>[{"status":200,"data":{"success":true}},{"status":200,"data":{"success":true,"unchanged":true}}]</x:v>
      </x:c>
      <x:c r="K28" s="33" t="str">
        <x:v>PASS</x:v>
      </x:c>
      <x:c r="L28" s="33" t="str">
        <x:v>Automated / evidence</x:v>
      </x:c>
      <x:c r="M28" s="33" t="str">
        <x:v>2026-09-09</x:v>
      </x:c>
      <x:c r="N28" s="33" t="str">
        <x:v>Historical audit / QA evidence</x:v>
      </x:c>
      <x:c r="O28" s="33" t="str">
        <x:v>docs/audit/runtime-results.json; AUDIT-2026-09-09.md</x:v>
      </x:c>
      <x:c r="P28" s="33" t="str"/>
      <x:c r="Q28" s="33" t="str">
        <x:v>PASS theo bằng chứng lịch sử; không chạy lại trong lần tạo workbook này.</x:v>
      </x:c>
    </x:row>
    <x:row r="29" ht="72" customHeight="1">
      <x:c r="A29" s="33" t="str">
        <x:v>T16</x:v>
      </x:c>
      <x:c r="B29" s="33" t="str">
        <x:v>Auth / Authorization</x:v>
      </x:c>
      <x:c r="C29" s="33" t="str">
        <x:v>Integration / API / SQL</x:v>
      </x:c>
      <x:c r="D29" s="33" t="str">
        <x:v>P0</x:v>
      </x:c>
      <x:c r="E29" s="33" t="str">
        <x:v>Order ownership and admin authorization</x:v>
      </x:c>
      <x:c r="F29" s="33" t="str">
        <x:v>SQL fixture ShoegroupAudit_20260909_fixed; API port 5100; synthetic test accounts; no real payment/email sent.</x:v>
      </x:c>
      <x:c r="G29" s="33" t="str">
        <x:v>Order ownership and admin authorization</x:v>
      </x:c>
      <x:c r="H29" s="33" t="str">
        <x:v>1) Chuẩn bị điều kiện: SQL fixture ShoegroupAudit_20260909_fixed; API port 5100; synthetic test accounts; no real payment/email sent. 2) Thực hiện scenario: Order ownership and admin authorization 3) Kiểm tra HTTP/UI/SQL/job side effects. 4) Đối chiếu với kết quả mong đợi và lưu evidence.</x:v>
      </x:c>
      <x:c r="I29" s="33" t="str">
        <x:v>403/401, owner unaffected</x:v>
      </x:c>
      <x:c r="J29" s="33" t="str">
        <x:v>[403,403,403,403,403,401,403]</x:v>
      </x:c>
      <x:c r="K29" s="33" t="str">
        <x:v>PASS</x:v>
      </x:c>
      <x:c r="L29" s="33" t="str">
        <x:v>Automated / evidence</x:v>
      </x:c>
      <x:c r="M29" s="33" t="str">
        <x:v>2026-09-09</x:v>
      </x:c>
      <x:c r="N29" s="33" t="str">
        <x:v>Historical audit / QA evidence</x:v>
      </x:c>
      <x:c r="O29" s="33" t="str">
        <x:v>docs/audit/runtime-results.json; AUDIT-2026-09-09.md</x:v>
      </x:c>
      <x:c r="P29" s="33" t="str"/>
      <x:c r="Q29" s="33" t="str">
        <x:v>PASS theo bằng chứng lịch sử; không chạy lại trong lần tạo workbook này.</x:v>
      </x:c>
    </x:row>
    <x:row r="30" ht="72" customHeight="1">
      <x:c r="A30" s="33" t="str">
        <x:v>T17</x:v>
      </x:c>
      <x:c r="B30" s="33" t="str">
        <x:v>Payment</x:v>
      </x:c>
      <x:c r="C30" s="33" t="str">
        <x:v>Integration / API / SQL</x:v>
      </x:c>
      <x:c r="D30" s="33" t="str">
        <x:v>P1</x:v>
      </x:c>
      <x:c r="E30" s="33" t="str">
        <x:v>Customer transfer declaration cannot create paid money</x:v>
      </x:c>
      <x:c r="F30" s="33" t="str">
        <x:v>SQL fixture ShoegroupAudit_20260909_fixed; API port 5100; synthetic test accounts; no real payment/email sent.</x:v>
      </x:c>
      <x:c r="G30" s="33" t="str">
        <x:v>Customer transfer declaration cannot create paid money</x:v>
      </x:c>
      <x:c r="H30" s="33" t="str">
        <x:v>1) Chuẩn bị điều kiện: SQL fixture ShoegroupAudit_20260909_fixed; API port 5100; synthetic test accounts; no real payment/email sent. 2) Thực hiện scenario: Customer transfer declaration cannot create paid money 3) Kiểm tra HTTP/UI/SQL/job side effects. 4) Đối chiếu với kết quả mong đợi và lưu evidence.</x:v>
      </x:c>
      <x:c r="I30" s="33" t="str">
        <x:v>pending declaration; no SUCCESS or valid signature</x:v>
      </x:c>
      <x:c r="J30" s="33" t="str">
        <x:v>{"declared":{"status":200,"data":{"success":true,"payment_status":"Chờ thanh toán"}},"o":{"PaymentStatus":"Chờ thanh toán"},"p":[{"Status":"PENDING","SignatureValid":false}],"confirmed":{"status":409,"data":{"success":false,"code":"PAYMENT_REQUIRED","message":"Don chuyen khoan phai duoc xac nhan da thanh toan truoc khi xac nhan hoac giao hang."}}}</x:v>
      </x:c>
      <x:c r="K30" s="33" t="str">
        <x:v>PASS</x:v>
      </x:c>
      <x:c r="L30" s="33" t="str">
        <x:v>Automated / evidence</x:v>
      </x:c>
      <x:c r="M30" s="33" t="str">
        <x:v>2026-09-09</x:v>
      </x:c>
      <x:c r="N30" s="33" t="str">
        <x:v>Historical audit / QA evidence</x:v>
      </x:c>
      <x:c r="O30" s="33" t="str">
        <x:v>docs/audit/runtime-results.json; AUDIT-2026-09-09.md</x:v>
      </x:c>
      <x:c r="P30" s="33" t="str"/>
      <x:c r="Q30" s="33" t="str">
        <x:v>PASS theo bằng chứng lịch sử; không chạy lại trong lần tạo workbook này.</x:v>
      </x:c>
    </x:row>
    <x:row r="31" ht="72" customHeight="1">
      <x:c r="A31" s="33" t="str">
        <x:v>T18</x:v>
      </x:c>
      <x:c r="B31" s="33" t="str">
        <x:v>Order / Payment</x:v>
      </x:c>
      <x:c r="C31" s="33" t="str">
        <x:v>Integration / API / SQL</x:v>
      </x:c>
      <x:c r="D31" s="33" t="str">
        <x:v>P1</x:v>
      </x:c>
      <x:c r="E31" s="33" t="str">
        <x:v>Cancelled cannot become shipped/paid</x:v>
      </x:c>
      <x:c r="F31" s="33" t="str">
        <x:v>SQL fixture ShoegroupAudit_20260909_fixed; API port 5100; synthetic test accounts; no real payment/email sent.</x:v>
      </x:c>
      <x:c r="G31" s="33" t="str">
        <x:v>Cancelled cannot become shipped/paid</x:v>
      </x:c>
      <x:c r="H31" s="33" t="str">
        <x:v>1) Chuẩn bị điều kiện: SQL fixture ShoegroupAudit_20260909_fixed; API port 5100; synthetic test accounts; no real payment/email sent. 2) Thực hiện scenario: Cancelled cannot become shipped/paid 3) Kiểm tra HTTP/UI/SQL/job side effects. 4) Đối chiếu với kết quả mong đợi và lưu evidence.</x:v>
      </x:c>
      <x:c r="I31" s="33" t="str">
        <x:v>409</x:v>
      </x:c>
      <x:c r="J31" s="33" t="str">
        <x:v>[{"status":409,"data":{"success":false,"message":"Khong the chuyen don tu 'Đã hủy' sang 'Đang vận chuyển'."}},{"status":409,"data":{"success":false,"message":"Trang thai thanh toan khong the thay doi."}}]</x:v>
      </x:c>
      <x:c r="K31" s="33" t="str">
        <x:v>PASS</x:v>
      </x:c>
      <x:c r="L31" s="33" t="str">
        <x:v>Automated / evidence</x:v>
      </x:c>
      <x:c r="M31" s="33" t="str">
        <x:v>2026-09-09</x:v>
      </x:c>
      <x:c r="N31" s="33" t="str">
        <x:v>Historical audit / QA evidence</x:v>
      </x:c>
      <x:c r="O31" s="33" t="str">
        <x:v>docs/audit/runtime-results.json; AUDIT-2026-09-09.md</x:v>
      </x:c>
      <x:c r="P31" s="33" t="str"/>
      <x:c r="Q31" s="33" t="str">
        <x:v>PASS theo bằng chứng lịch sử; không chạy lại trong lần tạo workbook này.</x:v>
      </x:c>
    </x:row>
    <x:row r="32" ht="72" customHeight="1">
      <x:c r="A32" s="33" t="str">
        <x:v>T19</x:v>
      </x:c>
      <x:c r="B32" s="33" t="str">
        <x:v>Payment / Refund</x:v>
      </x:c>
      <x:c r="C32" s="33" t="str">
        <x:v>Integration / API / SQL</x:v>
      </x:c>
      <x:c r="D32" s="33" t="str">
        <x:v>P1</x:v>
      </x:c>
      <x:c r="E32" s="33" t="str">
        <x:v>Duplicate admin paid confirmation then paid cancellation</x:v>
      </x:c>
      <x:c r="F32" s="33" t="str">
        <x:v>SQL fixture ShoegroupAudit_20260909_fixed; API port 5100; synthetic test accounts; no real payment/email sent.</x:v>
      </x:c>
      <x:c r="G32" s="33" t="str">
        <x:v>Duplicate admin paid confirmation then paid cancellation</x:v>
      </x:c>
      <x:c r="H32" s="33" t="str">
        <x:v>1) Chuẩn bị điều kiện: SQL fixture ShoegroupAudit_20260909_fixed; API port 5100; synthetic test accounts; no real payment/email sent. 2) Thực hiện scenario: Duplicate admin paid confirmation then paid cancellation 3) Kiểm tra HTTP/UI/SQL/job side effects. 4) Đối chiếu với kết quả mong đợi và lưu evidence.</x:v>
      </x:c>
      <x:c r="I32" s="33" t="str">
        <x:v>one SUCCESS; refund pending, never fake refunded</x:v>
      </x:c>
      <x:c r="J32" s="33" t="str">
        <x:v>[{"Provider":"MANUAL_CONFIRM","Status":"SUCCESS"},{"Provider":"MANUAL_REFUND","Status":"PENDING"}]</x:v>
      </x:c>
      <x:c r="K32" s="33" t="str">
        <x:v>PASS</x:v>
      </x:c>
      <x:c r="L32" s="33" t="str">
        <x:v>Automated / evidence</x:v>
      </x:c>
      <x:c r="M32" s="33" t="str">
        <x:v>2026-09-09</x:v>
      </x:c>
      <x:c r="N32" s="33" t="str">
        <x:v>Historical audit / QA evidence</x:v>
      </x:c>
      <x:c r="O32" s="33" t="str">
        <x:v>docs/audit/runtime-results.json; AUDIT-2026-09-09.md</x:v>
      </x:c>
      <x:c r="P32" s="33" t="str"/>
      <x:c r="Q32" s="33" t="str">
        <x:v>PASS theo bằng chứng lịch sử; không chạy lại trong lần tạo workbook này.</x:v>
      </x:c>
    </x:row>
    <x:row r="33" ht="72" customHeight="1">
      <x:c r="A33" s="33" t="str">
        <x:v>T20</x:v>
      </x:c>
      <x:c r="B33" s="33" t="str">
        <x:v>POS / Pricing</x:v>
      </x:c>
      <x:c r="C33" s="33" t="str">
        <x:v>Integration / API / SQL</x:v>
      </x:c>
      <x:c r="D33" s="33" t="str">
        <x:v>P1</x:v>
      </x:c>
      <x:c r="E33" s="33" t="str">
        <x:v>POS tampered amount and stale item price</x:v>
      </x:c>
      <x:c r="F33" s="33" t="str">
        <x:v>SQL fixture ShoegroupAudit_20260909_fixed; API port 5100; synthetic test accounts; no real payment/email sent.</x:v>
      </x:c>
      <x:c r="G33" s="33" t="str">
        <x:v>POS tampered amount and stale item price</x:v>
      </x:c>
      <x:c r="H33" s="33" t="str">
        <x:v>1) Chuẩn bị điều kiện: SQL fixture ShoegroupAudit_20260909_fixed; API port 5100; synthetic test accounts; no real payment/email sent. 2) Thực hiện scenario: POS tampered amount and stale item price 3) Kiểm tra HTTP/UI/SQL/job side effects. 4) Đối chiếu với kết quả mong đợi và lưu evidence.</x:v>
      </x:c>
      <x:c r="I33" s="33" t="str">
        <x:v>409 until cashier confirms canonical 500k; no stock change on rejection</x:v>
      </x:c>
      <x:c r="J33" s="33" t="str">
        <x:v>{"rejected":{"status":409,"data":{"success":false,"message":"Tổng tiền đã thay đổi thành 500000 VND. Vui lòng kiểm tra lại số tiền đã thu trước khi xác nhận thanh toán."}},"confirmed":{"status":200,"data":{"success":true,"orderId":119,"OrderID":119,"subtotalAmount":500000,"shippingFee":0,"discountAmount":0,"totalAmount":500000,"shippingMethodCode":"STANDARD","shippingMethodId":null,"distanceKm":null,"eta":null}}}</x:v>
      </x:c>
      <x:c r="K33" s="33" t="str">
        <x:v>PASS</x:v>
      </x:c>
      <x:c r="L33" s="33" t="str">
        <x:v>Automated / evidence</x:v>
      </x:c>
      <x:c r="M33" s="33" t="str">
        <x:v>2026-09-09</x:v>
      </x:c>
      <x:c r="N33" s="33" t="str">
        <x:v>Historical audit / QA evidence</x:v>
      </x:c>
      <x:c r="O33" s="33" t="str">
        <x:v>docs/audit/runtime-results.json; AUDIT-2026-09-09.md</x:v>
      </x:c>
      <x:c r="P33" s="33" t="str"/>
      <x:c r="Q33" s="33" t="str">
        <x:v>PASS theo bằng chứng lịch sử; không chạy lại trong lần tạo workbook này.</x:v>
      </x:c>
    </x:row>
    <x:row r="34" ht="72" customHeight="1">
      <x:c r="A34" s="33" t="str">
        <x:v>T21</x:v>
      </x:c>
      <x:c r="B34" s="33" t="str">
        <x:v>POS / Order</x:v>
      </x:c>
      <x:c r="C34" s="33" t="str">
        <x:v>Integration / API / SQL</x:v>
      </x:c>
      <x:c r="D34" s="33" t="str">
        <x:v>P0</x:v>
      </x:c>
      <x:c r="E34" s="33" t="str">
        <x:v>POS cannot create cancelled order consuming stock</x:v>
      </x:c>
      <x:c r="F34" s="33" t="str">
        <x:v>SQL fixture ShoegroupAudit_20260909_fixed; API port 5100; synthetic test accounts; no real payment/email sent.</x:v>
      </x:c>
      <x:c r="G34" s="33" t="str">
        <x:v>POS cannot create cancelled order consuming stock</x:v>
      </x:c>
      <x:c r="H34" s="33" t="str">
        <x:v>1) Chuẩn bị điều kiện: SQL fixture ShoegroupAudit_20260909_fixed; API port 5100; synthetic test accounts; no real payment/email sent. 2) Thực hiện scenario: POS cannot create cancelled order consuming stock 3) Kiểm tra HTTP/UI/SQL/job side effects. 4) Đối chiếu với kết quả mong đợi và lưu evidence.</x:v>
      </x:c>
      <x:c r="I34" s="33" t="str">
        <x:v>400/409</x:v>
      </x:c>
      <x:c r="J34" s="33" t="str">
        <x:v>{"status":400,"data":{"success":false,"message":"Không thể khởi tạo đơn ở trạng thái kết thúc hoặc đang vận chuyển."}}</x:v>
      </x:c>
      <x:c r="K34" s="33" t="str">
        <x:v>PASS</x:v>
      </x:c>
      <x:c r="L34" s="33" t="str">
        <x:v>Automated / evidence</x:v>
      </x:c>
      <x:c r="M34" s="33" t="str">
        <x:v>2026-09-09</x:v>
      </x:c>
      <x:c r="N34" s="33" t="str">
        <x:v>Historical audit / QA evidence</x:v>
      </x:c>
      <x:c r="O34" s="33" t="str">
        <x:v>docs/audit/runtime-results.json; AUDIT-2026-09-09.md</x:v>
      </x:c>
      <x:c r="P34" s="33" t="str"/>
      <x:c r="Q34" s="33" t="str">
        <x:v>PASS theo bằng chứng lịch sử; không chạy lại trong lần tạo workbook này.</x:v>
      </x:c>
    </x:row>
    <x:row r="35" ht="72" customHeight="1">
      <x:c r="A35" s="33" t="str">
        <x:v>T22</x:v>
      </x:c>
      <x:c r="B35" s="33" t="str">
        <x:v>Product / Database</x:v>
      </x:c>
      <x:c r="C35" s="33" t="str">
        <x:v>Integration / API / SQL</x:v>
      </x:c>
      <x:c r="D35" s="33" t="str">
        <x:v>P1</x:v>
      </x:c>
      <x:c r="E35" s="33" t="str">
        <x:v>Hard product deletion preserves order history</x:v>
      </x:c>
      <x:c r="F35" s="33" t="str">
        <x:v>SQL fixture ShoegroupAudit_20260909_fixed; API port 5100; synthetic test accounts; no real payment/email sent.</x:v>
      </x:c>
      <x:c r="G35" s="33" t="str">
        <x:v>Hard product deletion preserves order history</x:v>
      </x:c>
      <x:c r="H35" s="33" t="str">
        <x:v>1) Chuẩn bị điều kiện: SQL fixture ShoegroupAudit_20260909_fixed; API port 5100; synthetic test accounts; no real payment/email sent. 2) Thực hiện scenario: Hard product deletion preserves order history 3) Kiểm tra HTTP/UI/SQL/job side effects. 4) Đối chiếu với kết quả mong đợi và lưu evidence.</x:v>
      </x:c>
      <x:c r="I35" s="33" t="str">
        <x:v>409, order detail remains</x:v>
      </x:c>
      <x:c r="J35" s="33" t="str">
        <x:v>{"status":409,"data":{"error":"Sản phẩm đã có lịch sử đơn hàng; hãy ẩn sản phẩm thay vì xóa cứng."}}</x:v>
      </x:c>
      <x:c r="K35" s="33" t="str">
        <x:v>PASS</x:v>
      </x:c>
      <x:c r="L35" s="33" t="str">
        <x:v>Automated / evidence</x:v>
      </x:c>
      <x:c r="M35" s="33" t="str">
        <x:v>2026-09-09</x:v>
      </x:c>
      <x:c r="N35" s="33" t="str">
        <x:v>Historical audit / QA evidence</x:v>
      </x:c>
      <x:c r="O35" s="33" t="str">
        <x:v>docs/audit/runtime-results.json; AUDIT-2026-09-09.md</x:v>
      </x:c>
      <x:c r="P35" s="33" t="str"/>
      <x:c r="Q35" s="33" t="str">
        <x:v>PASS theo bằng chứng lịch sử; không chạy lại trong lần tạo workbook này.</x:v>
      </x:c>
    </x:row>
    <x:row r="36" ht="72" customHeight="1">
      <x:c r="A36" s="33" t="str">
        <x:v>T23</x:v>
      </x:c>
      <x:c r="B36" s="33" t="str">
        <x:v>Product / API</x:v>
      </x:c>
      <x:c r="C36" s="33" t="str">
        <x:v>Integration / API / SQL</x:v>
      </x:c>
      <x:c r="D36" s="33" t="str">
        <x:v>P1</x:v>
      </x:c>
      <x:c r="E36" s="33" t="str">
        <x:v>Public paginated products without optional filters</x:v>
      </x:c>
      <x:c r="F36" s="33" t="str">
        <x:v>SQL fixture ShoegroupAudit_20260909_fixed; API port 5100; synthetic test accounts; no real payment/email sent.</x:v>
      </x:c>
      <x:c r="G36" s="33" t="str">
        <x:v>Public paginated products without optional filters</x:v>
      </x:c>
      <x:c r="H36" s="33" t="str">
        <x:v>1) Chuẩn bị điều kiện: SQL fixture ShoegroupAudit_20260909_fixed; API port 5100; synthetic test accounts; no real payment/email sent. 2) Thực hiện scenario: Public paginated products without optional filters 3) Kiểm tra HTTP/UI/SQL/job side effects. 4) Đối chiếu với kết quả mong đợi và lưu evidence.</x:v>
      </x:c>
      <x:c r="I36" s="33" t="str">
        <x:v>200</x:v>
      </x:c>
      <x:c r="J36" s="33" t="str">
        <x:v>{"status":200,"count":12}</x:v>
      </x:c>
      <x:c r="K36" s="33" t="str">
        <x:v>PASS</x:v>
      </x:c>
      <x:c r="L36" s="33" t="str">
        <x:v>Automated / evidence</x:v>
      </x:c>
      <x:c r="M36" s="33" t="str">
        <x:v>2026-09-09</x:v>
      </x:c>
      <x:c r="N36" s="33" t="str">
        <x:v>Historical audit / QA evidence</x:v>
      </x:c>
      <x:c r="O36" s="33" t="str">
        <x:v>docs/audit/runtime-results.json; AUDIT-2026-09-09.md</x:v>
      </x:c>
      <x:c r="P36" s="33" t="str"/>
      <x:c r="Q36" s="33" t="str">
        <x:v>PASS theo bằng chứng lịch sử; không chạy lại trong lần tạo workbook này.</x:v>
      </x:c>
    </x:row>
    <x:row r="37" ht="72" customHeight="1">
      <x:c r="A37" s="33" t="str">
        <x:v>T24</x:v>
      </x:c>
      <x:c r="B37" s="33" t="str">
        <x:v>Database / Integrity</x:v>
      </x:c>
      <x:c r="C37" s="33" t="str">
        <x:v>Integration / API / SQL</x:v>
      </x:c>
      <x:c r="D37" s="33" t="str">
        <x:v>P1</x:v>
      </x:c>
      <x:c r="E37" s="33" t="str">
        <x:v>SQL consistency after API tests</x:v>
      </x:c>
      <x:c r="F37" s="33" t="str">
        <x:v>SQL fixture ShoegroupAudit_20260909_fixed; API port 5100; synthetic test accounts; no real payment/email sent.</x:v>
      </x:c>
      <x:c r="G37" s="33" t="str">
        <x:v>SQL consistency after API tests</x:v>
      </x:c>
      <x:c r="H37" s="33" t="str">
        <x:v>1) Chuẩn bị điều kiện: SQL fixture ShoegroupAudit_20260909_fixed; API port 5100; synthetic test accounts; no real payment/email sent. 2) Thực hiện scenario: SQL consistency after API tests 3) Kiểm tra HTTP/UI/SQL/job side effects. 4) Đối chiếu với kết quả mong đợi và lưu evidence.</x:v>
      </x:c>
      <x:c r="I37" s="33" t="str">
        <x:v>no orphan/empty orders; no negative stock</x:v>
      </x:c>
      <x:c r="J37" s="33" t="str">
        <x:v>[{"negative":0,"emptyOrders":0,"orphanItems":0}]</x:v>
      </x:c>
      <x:c r="K37" s="33" t="str">
        <x:v>PASS</x:v>
      </x:c>
      <x:c r="L37" s="33" t="str">
        <x:v>Automated / evidence</x:v>
      </x:c>
      <x:c r="M37" s="33" t="str">
        <x:v>2026-09-09</x:v>
      </x:c>
      <x:c r="N37" s="33" t="str">
        <x:v>Historical audit / QA evidence</x:v>
      </x:c>
      <x:c r="O37" s="33" t="str">
        <x:v>docs/audit/runtime-results.json; AUDIT-2026-09-09.md</x:v>
      </x:c>
      <x:c r="P37" s="33" t="str"/>
      <x:c r="Q37" s="33" t="str">
        <x:v>PASS theo bằng chứng lịch sử; không chạy lại trong lần tạo workbook này.</x:v>
      </x:c>
    </x:row>
    <x:row r="38" ht="72" customHeight="1">
      <x:c r="A38" s="33" t="str">
        <x:v>R01</x:v>
      </x:c>
      <x:c r="B38" s="33" t="str">
        <x:v>Return / Refund</x:v>
      </x:c>
      <x:c r="C38" s="33" t="str">
        <x:v>Integration / API / SQL</x:v>
      </x:c>
      <x:c r="D38" s="33" t="str">
        <x:v>P1</x:v>
      </x:c>
      <x:c r="E38" s="33" t="str">
        <x:v>Full coupon refund uses paid goods value</x:v>
      </x:c>
      <x:c r="F38" s="33" t="str">
        <x:v>SQL fixture ShoegroupAudit_20260909_fixed; API port 5100; synthetic test accounts; no real payment/email sent.</x:v>
      </x:c>
      <x:c r="G38" s="33" t="str">
        <x:v>Full coupon refund uses paid goods value</x:v>
      </x:c>
      <x:c r="H38" s="33" t="str">
        <x:v>1) Chuẩn bị điều kiện: SQL fixture ShoegroupAudit_20260909_fixed; API port 5100; synthetic test accounts; no real payment/email sent. 2) Thực hiện scenario: Full coupon refund uses paid goods value 3) Kiểm tra HTTP/UI/SQL/job side effects. 4) Đối chiếu với kết quả mong đợi và lưu evidence.</x:v>
      </x:c>
      <x:c r="I38" s="33" t="str">
        <x:v>450000 refund, no shipping</x:v>
      </x:c>
      <x:c r="J38" s="33" t="str">
        <x:v>{"status":201,"data":{"success":true,"ReturnID":15,"OrderID":121,"ReturnType":"CUSTOMER","RefundAmount":450000,"Status":"Chờ xử lý"}}</x:v>
      </x:c>
      <x:c r="K38" s="33" t="str">
        <x:v>PASS</x:v>
      </x:c>
      <x:c r="L38" s="33" t="str">
        <x:v>Automated / evidence</x:v>
      </x:c>
      <x:c r="M38" s="33" t="str">
        <x:v>2026-09-09</x:v>
      </x:c>
      <x:c r="N38" s="33" t="str">
        <x:v>Historical audit / QA evidence</x:v>
      </x:c>
      <x:c r="O38" s="33" t="str">
        <x:v>docs/audit/extended-results.json; AUDIT-2026-09-09.md</x:v>
      </x:c>
      <x:c r="P38" s="33" t="str"/>
      <x:c r="Q38" s="33" t="str">
        <x:v>PASS theo bằng chứng lịch sử; không chạy lại trong lần tạo workbook này.</x:v>
      </x:c>
    </x:row>
    <x:row r="39" ht="72" customHeight="1">
      <x:c r="A39" s="33" t="str">
        <x:v>R02</x:v>
      </x:c>
      <x:c r="B39" s="33" t="str">
        <x:v>Return / Refund</x:v>
      </x:c>
      <x:c r="C39" s="33" t="str">
        <x:v>Integration / API / SQL</x:v>
      </x:c>
      <x:c r="D39" s="33" t="str">
        <x:v>P1</x:v>
      </x:c>
      <x:c r="E39" s="33" t="str">
        <x:v>Discounted partial return missing allocation</x:v>
      </x:c>
      <x:c r="F39" s="33" t="str">
        <x:v>SQL fixture ShoegroupAudit_20260909_fixed; API port 5100; synthetic test accounts; no real payment/email sent.</x:v>
      </x:c>
      <x:c r="G39" s="33" t="str">
        <x:v>Discounted partial return missing allocation</x:v>
      </x:c>
      <x:c r="H39" s="33" t="str">
        <x:v>1) Chuẩn bị điều kiện: SQL fixture ShoegroupAudit_20260909_fixed; API port 5100; synthetic test accounts; no real payment/email sent. 2) Thực hiện scenario: Discounted partial return missing allocation 3) Kiểm tra HTTP/UI/SQL/job side effects. 4) Đối chiếu với kết quả mong đợi và lưu evidence.</x:v>
      </x:c>
      <x:c r="I39" s="33" t="str">
        <x:v>409 BUSINESS RULE REQUIRED</x:v>
      </x:c>
      <x:c r="J39" s="33" t="str">
        <x:v>{"status":409,"data":{"success":false,"message":"BUSINESS RULE REQUIRED: cần phân bổ ưu đãi theo sản phẩm trước khi hoàn trả đơn giảm giá này."}}</x:v>
      </x:c>
      <x:c r="K39" s="33" t="str">
        <x:v>PASS</x:v>
      </x:c>
      <x:c r="L39" s="33" t="str">
        <x:v>Automated / evidence</x:v>
      </x:c>
      <x:c r="M39" s="33" t="str">
        <x:v>2026-09-09</x:v>
      </x:c>
      <x:c r="N39" s="33" t="str">
        <x:v>Historical audit / QA evidence</x:v>
      </x:c>
      <x:c r="O39" s="33" t="str">
        <x:v>docs/audit/extended-results.json; AUDIT-2026-09-09.md</x:v>
      </x:c>
      <x:c r="P39" s="33" t="str">
        <x:v>BUG-032</x:v>
      </x:c>
      <x:c r="Q39" s="33" t="str">
        <x:v>PASS theo bằng chứng lịch sử; không chạy lại trong lần tạo workbook này.</x:v>
      </x:c>
    </x:row>
    <x:row r="40" ht="72" customHeight="1">
      <x:c r="A40" s="33" t="str">
        <x:v>R03</x:v>
      </x:c>
      <x:c r="B40" s="33" t="str">
        <x:v>Return / Refund</x:v>
      </x:c>
      <x:c r="C40" s="33" t="str">
        <x:v>Integration / API / SQL</x:v>
      </x:c>
      <x:c r="D40" s="33" t="str">
        <x:v>P1</x:v>
      </x:c>
      <x:c r="E40" s="33" t="str">
        <x:v>Partial quantity return then second return</x:v>
      </x:c>
      <x:c r="F40" s="33" t="str">
        <x:v>SQL fixture ShoegroupAudit_20260909_fixed; API port 5100; synthetic test accounts; no real payment/email sent.</x:v>
      </x:c>
      <x:c r="G40" s="33" t="str">
        <x:v>Partial quantity return then second return</x:v>
      </x:c>
      <x:c r="H40" s="33" t="str">
        <x:v>1) Chuẩn bị điều kiện: SQL fixture ShoegroupAudit_20260909_fixed; API port 5100; synthetic test accounts; no real payment/email sent. 2) Thực hiện scenario: Partial quantity return then second return 3) Kiểm tra HTTP/UI/SQL/job side effects. 4) Đối chiếu với kết quả mong đợi và lưu evidence.</x:v>
      </x:c>
      <x:c r="I40" s="33" t="str">
        <x:v>paid order stays received; 2 separate wallet credits within paid amount</x:v>
      </x:c>
      <x:c r="J40" s="33" t="str">
        <x:v>{"mid":{"Status":"Đã nhận hàng","PaymentStatus":"Đã thanh toán"},"credits":[{"amount":1500000,"count":2}]}</x:v>
      </x:c>
      <x:c r="K40" s="33" t="str">
        <x:v>PASS</x:v>
      </x:c>
      <x:c r="L40" s="33" t="str">
        <x:v>Automated / evidence</x:v>
      </x:c>
      <x:c r="M40" s="33" t="str">
        <x:v>2026-09-09</x:v>
      </x:c>
      <x:c r="N40" s="33" t="str">
        <x:v>Historical audit / QA evidence</x:v>
      </x:c>
      <x:c r="O40" s="33" t="str">
        <x:v>docs/audit/extended-results.json; AUDIT-2026-09-09.md</x:v>
      </x:c>
      <x:c r="P40" s="33" t="str"/>
      <x:c r="Q40" s="33" t="str">
        <x:v>PASS theo bằng chứng lịch sử; không chạy lại trong lần tạo workbook này.</x:v>
      </x:c>
    </x:row>
    <x:row r="41" ht="72" customHeight="1">
      <x:c r="A41" s="33" t="str">
        <x:v>R04</x:v>
      </x:c>
      <x:c r="B41" s="33" t="str">
        <x:v>Return / Refund</x:v>
      </x:c>
      <x:c r="C41" s="33" t="str">
        <x:v>Integration / API / SQL</x:v>
      </x:c>
      <x:c r="D41" s="33" t="str">
        <x:v>P1</x:v>
      </x:c>
      <x:c r="E41" s="33" t="str">
        <x:v>Customer marks damaged/unknown return as unopened</x:v>
      </x:c>
      <x:c r="F41" s="33" t="str">
        <x:v>SQL fixture ShoegroupAudit_20260909_fixed; API port 5100; synthetic test accounts; no real payment/email sent.</x:v>
      </x:c>
      <x:c r="G41" s="33" t="str">
        <x:v>Customer marks damaged/unknown return as unopened</x:v>
      </x:c>
      <x:c r="H41" s="33" t="str">
        <x:v>1) Chuẩn bị điều kiện: SQL fixture ShoegroupAudit_20260909_fixed; API port 5100; synthetic test accounts; no real payment/email sent. 2) Thực hiện scenario: Customer marks damaged/unknown return as unopened 3) Kiểm tra HTTP/UI/SQL/job side effects. 4) Đối chiếu với kết quả mong đợi và lưu evidence.</x:v>
      </x:c>
      <x:c r="I41" s="33" t="str">
        <x:v>no sellable restock without admin inspection</x:v>
      </x:c>
      <x:c r="J41" s="33" t="str">
        <x:v>{"status":200,"data":{"success":true,"ReturnID":18,"status":"Đã hoàn tất","refund_amount":500000}}</x:v>
      </x:c>
      <x:c r="K41" s="33" t="str">
        <x:v>PASS</x:v>
      </x:c>
      <x:c r="L41" s="33" t="str">
        <x:v>Automated / evidence</x:v>
      </x:c>
      <x:c r="M41" s="33" t="str">
        <x:v>2026-09-09</x:v>
      </x:c>
      <x:c r="N41" s="33" t="str">
        <x:v>Historical audit / QA evidence</x:v>
      </x:c>
      <x:c r="O41" s="33" t="str">
        <x:v>docs/audit/extended-results.json; AUDIT-2026-09-09.md</x:v>
      </x:c>
      <x:c r="P41" s="33" t="str"/>
      <x:c r="Q41" s="33" t="str">
        <x:v>PASS theo bằng chứng lịch sử; không chạy lại trong lần tạo workbook này.</x:v>
      </x:c>
    </x:row>
    <x:row r="42" ht="72" customHeight="1">
      <x:c r="A42" s="33" t="str">
        <x:v>R05</x:v>
      </x:c>
      <x:c r="B42" s="33" t="str">
        <x:v>Return / Refund</x:v>
      </x:c>
      <x:c r="C42" s="33" t="str">
        <x:v>Integration / API / SQL</x:v>
      </x:c>
      <x:c r="D42" s="33" t="str">
        <x:v>P1</x:v>
      </x:c>
      <x:c r="E42" s="33" t="str">
        <x:v>Inspected saleable return and duplicate concurrent finalization</x:v>
      </x:c>
      <x:c r="F42" s="33" t="str">
        <x:v>SQL fixture ShoegroupAudit_20260909_fixed; API port 5100; synthetic test accounts; no real payment/email sent.</x:v>
      </x:c>
      <x:c r="G42" s="33" t="str">
        <x:v>Inspected saleable return and duplicate concurrent finalization</x:v>
      </x:c>
      <x:c r="H42" s="33" t="str">
        <x:v>1) Chuẩn bị điều kiện: SQL fixture ShoegroupAudit_20260909_fixed; API port 5100; synthetic test accounts; no real payment/email sent. 2) Thực hiện scenario: Inspected saleable return and duplicate concurrent finalization 3) Kiểm tra HTTP/UI/SQL/job side effects. 4) Đối chiếu với kết quả mong đợi và lưu evidence.</x:v>
      </x:c>
      <x:c r="I42" s="33" t="str">
        <x:v>restore once, credit once, immutable refund</x:v>
      </x:c>
      <x:c r="J42" s="33" t="str">
        <x:v>[{"status":200,"data":{"success":true,"ReturnID":19,"status":"Đã hoàn tất","refund_amount":500000}},{"status":200,"data":{"success":true,"ReturnID":19,"status":"Đã hoàn tất","refund_amount":500000}}]</x:v>
      </x:c>
      <x:c r="K42" s="33" t="str">
        <x:v>PASS</x:v>
      </x:c>
      <x:c r="L42" s="33" t="str">
        <x:v>Automated / evidence</x:v>
      </x:c>
      <x:c r="M42" s="33" t="str">
        <x:v>2026-09-09</x:v>
      </x:c>
      <x:c r="N42" s="33" t="str">
        <x:v>Historical audit / QA evidence</x:v>
      </x:c>
      <x:c r="O42" s="33" t="str">
        <x:v>docs/audit/extended-results.json; AUDIT-2026-09-09.md</x:v>
      </x:c>
      <x:c r="P42" s="33" t="str"/>
      <x:c r="Q42" s="33" t="str">
        <x:v>PASS theo bằng chứng lịch sử; không chạy lại trong lần tạo workbook này.</x:v>
      </x:c>
    </x:row>
    <x:row r="43" ht="72" customHeight="1">
      <x:c r="A43" s="33" t="str">
        <x:v>R06</x:v>
      </x:c>
      <x:c r="B43" s="33" t="str">
        <x:v>Return / Wallet</x:v>
      </x:c>
      <x:c r="C43" s="33" t="str">
        <x:v>Integration / API / SQL</x:v>
      </x:c>
      <x:c r="D43" s="33" t="str">
        <x:v>P1</x:v>
      </x:c>
      <x:c r="E43" s="33" t="str">
        <x:v>Wallet credit failure rolls back refund/order/inventory</x:v>
      </x:c>
      <x:c r="F43" s="33" t="str">
        <x:v>SQL fixture ShoegroupAudit_20260909_fixed; API port 5100; synthetic test accounts; no real payment/email sent.</x:v>
      </x:c>
      <x:c r="G43" s="33" t="str">
        <x:v>Wallet credit failure rolls back refund/order/inventory</x:v>
      </x:c>
      <x:c r="H43" s="33" t="str">
        <x:v>1) Chuẩn bị điều kiện: SQL fixture ShoegroupAudit_20260909_fixed; API port 5100; synthetic test accounts; no real payment/email sent. 2) Thực hiện scenario: Wallet credit failure rolls back refund/order/inventory 3) Kiểm tra HTTP/UI/SQL/job side effects. 4) Đối chiếu với kết quả mong đợi và lưu evidence.</x:v>
      </x:c>
      <x:c r="I43" s="33" t="str">
        <x:v>500; no wallet credit; request stays approved; stock stays deducted</x:v>
      </x:c>
      <x:c r="J43" s="33" t="str">
        <x:v>[{"Status":"Chấp nhận hoàn tiền","RefundedAt":null,"RestockedAt":null}]</x:v>
      </x:c>
      <x:c r="K43" s="33" t="str">
        <x:v>PASS</x:v>
      </x:c>
      <x:c r="L43" s="33" t="str">
        <x:v>Automated / evidence</x:v>
      </x:c>
      <x:c r="M43" s="33" t="str">
        <x:v>2026-09-09</x:v>
      </x:c>
      <x:c r="N43" s="33" t="str">
        <x:v>Historical audit / QA evidence</x:v>
      </x:c>
      <x:c r="O43" s="33" t="str">
        <x:v>docs/audit/extended-results.json; AUDIT-2026-09-09.md</x:v>
      </x:c>
      <x:c r="P43" s="33" t="str"/>
      <x:c r="Q43" s="33" t="str">
        <x:v>PASS theo bằng chứng lịch sử; không chạy lại trong lần tạo workbook này.</x:v>
      </x:c>
    </x:row>
    <x:row r="44" ht="72" customHeight="1">
      <x:c r="A44" s="33" t="str">
        <x:v>R07</x:v>
      </x:c>
      <x:c r="B44" s="33" t="str">
        <x:v>Return / Refund</x:v>
      </x:c>
      <x:c r="C44" s="33" t="str">
        <x:v>Integration / API / SQL</x:v>
      </x:c>
      <x:c r="D44" s="33" t="str">
        <x:v>P1</x:v>
      </x:c>
      <x:c r="E44" s="33" t="str">
        <x:v>Return more than purchased and wrong owner</x:v>
      </x:c>
      <x:c r="F44" s="33" t="str">
        <x:v>SQL fixture ShoegroupAudit_20260909_fixed; API port 5100; synthetic test accounts; no real payment/email sent.</x:v>
      </x:c>
      <x:c r="G44" s="33" t="str">
        <x:v>Return more than purchased and wrong owner</x:v>
      </x:c>
      <x:c r="H44" s="33" t="str">
        <x:v>1) Chuẩn bị điều kiện: SQL fixture ShoegroupAudit_20260909_fixed; API port 5100; synthetic test accounts; no real payment/email sent. 2) Thực hiện scenario: Return more than purchased and wrong owner 3) Kiểm tra HTTP/UI/SQL/job side effects. 4) Đối chiếu với kết quả mong đợi và lưu evidence.</x:v>
      </x:c>
      <x:c r="I44" s="33" t="str">
        <x:v>409/403, no return created</x:v>
      </x:c>
      <x:c r="J44" s="33" t="str">
        <x:v>[{"status":409,"data":{"success":false,"message":"So luong tra vuot qua so luong da mua (AT-mtty7k1h-9)."}},{"status":403,"data":{"success":false,"message":"Ban khong duoc tra don hang nay."}}]</x:v>
      </x:c>
      <x:c r="K44" s="33" t="str">
        <x:v>PASS</x:v>
      </x:c>
      <x:c r="L44" s="33" t="str">
        <x:v>Automated / evidence</x:v>
      </x:c>
      <x:c r="M44" s="33" t="str">
        <x:v>2026-09-09</x:v>
      </x:c>
      <x:c r="N44" s="33" t="str">
        <x:v>Historical audit / QA evidence</x:v>
      </x:c>
      <x:c r="O44" s="33" t="str">
        <x:v>docs/audit/extended-results.json; AUDIT-2026-09-09.md</x:v>
      </x:c>
      <x:c r="P44" s="33" t="str"/>
      <x:c r="Q44" s="33" t="str">
        <x:v>PASS theo bằng chứng lịch sử; không chạy lại trong lần tạo workbook này.</x:v>
      </x:c>
    </x:row>
    <x:row r="45" ht="72" customHeight="1">
      <x:c r="A45" s="33" t="str">
        <x:v>R08</x:v>
      </x:c>
      <x:c r="B45" s="33" t="str">
        <x:v>Return / Refund</x:v>
      </x:c>
      <x:c r="C45" s="33" t="str">
        <x:v>Integration / API / SQL</x:v>
      </x:c>
      <x:c r="D45" s="33" t="str">
        <x:v>P1</x:v>
      </x:c>
      <x:c r="E45" s="33" t="str">
        <x:v>Return outside existing 14-day window</x:v>
      </x:c>
      <x:c r="F45" s="33" t="str">
        <x:v>SQL fixture ShoegroupAudit_20260909_fixed; API port 5100; synthetic test accounts; no real payment/email sent.</x:v>
      </x:c>
      <x:c r="G45" s="33" t="str">
        <x:v>Return outside existing 14-day window</x:v>
      </x:c>
      <x:c r="H45" s="33" t="str">
        <x:v>1) Chuẩn bị điều kiện: SQL fixture ShoegroupAudit_20260909_fixed; API port 5100; synthetic test accounts; no real payment/email sent. 2) Thực hiện scenario: Return outside existing 14-day window 3) Kiểm tra HTTP/UI/SQL/job side effects. 4) Đối chiếu với kết quả mong đợi và lưu evidence.</x:v>
      </x:c>
      <x:c r="I45" s="33" t="str">
        <x:v>409</x:v>
      </x:c>
      <x:c r="J45" s="33" t="str">
        <x:v>{"status":409,"data":{"success":false,"message":"Don hang da qua thoi han doi tra 14 ngay."}}</x:v>
      </x:c>
      <x:c r="K45" s="33" t="str">
        <x:v>PASS</x:v>
      </x:c>
      <x:c r="L45" s="33" t="str">
        <x:v>Automated / evidence</x:v>
      </x:c>
      <x:c r="M45" s="33" t="str">
        <x:v>2026-09-09</x:v>
      </x:c>
      <x:c r="N45" s="33" t="str">
        <x:v>Historical audit / QA evidence</x:v>
      </x:c>
      <x:c r="O45" s="33" t="str">
        <x:v>docs/audit/extended-results.json; AUDIT-2026-09-09.md</x:v>
      </x:c>
      <x:c r="P45" s="33" t="str"/>
      <x:c r="Q45" s="33" t="str">
        <x:v>PASS theo bằng chứng lịch sử; không chạy lại trong lần tạo workbook này.</x:v>
      </x:c>
    </x:row>
    <x:row r="46" ht="72" customHeight="1">
      <x:c r="A46" s="33" t="str">
        <x:v>R09</x:v>
      </x:c>
      <x:c r="B46" s="33" t="str">
        <x:v>Return / Refund</x:v>
      </x:c>
      <x:c r="C46" s="33" t="str">
        <x:v>Integration / API / SQL</x:v>
      </x:c>
      <x:c r="D46" s="33" t="str">
        <x:v>P1</x:v>
      </x:c>
      <x:c r="E46" s="33" t="str">
        <x:v>Failed COD delivery warehouse/reship repeated</x:v>
      </x:c>
      <x:c r="F46" s="33" t="str">
        <x:v>SQL fixture ShoegroupAudit_20260909_fixed; API port 5100; synthetic test accounts; no real payment/email sent.</x:v>
      </x:c>
      <x:c r="G46" s="33" t="str">
        <x:v>Failed COD delivery warehouse/reship repeated</x:v>
      </x:c>
      <x:c r="H46" s="33" t="str">
        <x:v>1) Chuẩn bị điều kiện: SQL fixture ShoegroupAudit_20260909_fixed; API port 5100; synthetic test accounts; no real payment/email sent. 2) Thực hiện scenario: Failed COD delivery warehouse/reship repeated 3) Kiểm tra HTTP/UI/SQL/job side effects. 4) Đối chiếu với kết quả mong đợi và lưu evidence.</x:v>
      </x:c>
      <x:c r="I46" s="33" t="str">
        <x:v>no payment collected; restore/deduct exactly once</x:v>
      </x:c>
      <x:c r="J46" s="33" t="str">
        <x:v>[{"status":200,"data":{"success":true}},{"status":200,"data":{"success":true,"unchanged":true}},{"status":200,"data":{"success":true}}]</x:v>
      </x:c>
      <x:c r="K46" s="33" t="str">
        <x:v>PASS</x:v>
      </x:c>
      <x:c r="L46" s="33" t="str">
        <x:v>Automated / evidence</x:v>
      </x:c>
      <x:c r="M46" s="33" t="str">
        <x:v>2026-09-09</x:v>
      </x:c>
      <x:c r="N46" s="33" t="str">
        <x:v>Historical audit / QA evidence</x:v>
      </x:c>
      <x:c r="O46" s="33" t="str">
        <x:v>docs/audit/extended-results.json; AUDIT-2026-09-09.md</x:v>
      </x:c>
      <x:c r="P46" s="33" t="str"/>
      <x:c r="Q46" s="33" t="str">
        <x:v>PASS theo bằng chứng lịch sử; không chạy lại trong lần tạo workbook này.</x:v>
      </x:c>
    </x:row>
    <x:row r="47" ht="72" customHeight="1">
      <x:c r="A47" s="33" t="str">
        <x:v>R10</x:v>
      </x:c>
      <x:c r="B47" s="33" t="str">
        <x:v>Revenue</x:v>
      </x:c>
      <x:c r="C47" s="33" t="str">
        <x:v>Integration / API / SQL</x:v>
      </x:c>
      <x:c r="D47" s="33" t="str">
        <x:v>P0</x:v>
      </x:c>
      <x:c r="E47" s="33" t="str">
        <x:v>Recognized revenue ignores stale flags and subtracts partial refunds</x:v>
      </x:c>
      <x:c r="F47" s="33" t="str">
        <x:v>SQL fixture ShoegroupAudit_20260909_fixed; API port 5100; synthetic test accounts; no real payment/email sent.</x:v>
      </x:c>
      <x:c r="G47" s="33" t="str">
        <x:v>Recognized revenue ignores stale flags and subtracts partial refunds</x:v>
      </x:c>
      <x:c r="H47" s="33" t="str">
        <x:v>1) Chuẩn bị điều kiện: SQL fixture ShoegroupAudit_20260909_fixed; API port 5100; synthetic test accounts; no real payment/email sent. 2) Thực hiện scenario: Recognized revenue ignores stale flags and subtracts partial refunds 3) Kiểm tra HTTP/UI/SQL/job side effects. 4) Đối chiếu với kết quả mong đợi và lưu evidence.</x:v>
      </x:c>
      <x:c r="I47" s="33" t="str">
        <x:v>dashboard/chart equal SQL expected, no pending/cancelled money</x:v>
      </x:c>
      <x:c r="J47" s="33" t="str">
        <x:v>{"expected":2725000,"actual":{"totalOrders":98,"ordersToday":98,"recognizedRevenue":2725000,"activeProducts":111,"activeUsers":13,"lowStockVariants":11}}</x:v>
      </x:c>
      <x:c r="K47" s="33" t="str">
        <x:v>PASS</x:v>
      </x:c>
      <x:c r="L47" s="33" t="str">
        <x:v>Automated / evidence</x:v>
      </x:c>
      <x:c r="M47" s="33" t="str">
        <x:v>2026-09-09</x:v>
      </x:c>
      <x:c r="N47" s="33" t="str">
        <x:v>Historical audit / QA evidence</x:v>
      </x:c>
      <x:c r="O47" s="33" t="str">
        <x:v>docs/audit/extended-results.json; AUDIT-2026-09-09.md</x:v>
      </x:c>
      <x:c r="P47" s="33" t="str"/>
      <x:c r="Q47" s="33" t="str">
        <x:v>PASS theo bằng chứng lịch sử; không chạy lại trong lần tạo workbook này.</x:v>
      </x:c>
    </x:row>
    <x:row r="48" ht="72" customHeight="1">
      <x:c r="A48" s="33" t="str">
        <x:v>R11</x:v>
      </x:c>
      <x:c r="B48" s="33" t="str">
        <x:v>Product</x:v>
      </x:c>
      <x:c r="C48" s="33" t="str">
        <x:v>Integration / API / SQL</x:v>
      </x:c>
      <x:c r="D48" s="33" t="str">
        <x:v>P1</x:v>
      </x:c>
      <x:c r="E48" s="33" t="str">
        <x:v>Failed product image insert rolls back whole product</x:v>
      </x:c>
      <x:c r="F48" s="33" t="str">
        <x:v>SQL fixture ShoegroupAudit_20260909_fixed; API port 5100; synthetic test accounts; no real payment/email sent.</x:v>
      </x:c>
      <x:c r="G48" s="33" t="str">
        <x:v>Failed product image insert rolls back whole product</x:v>
      </x:c>
      <x:c r="H48" s="33" t="str">
        <x:v>1) Chuẩn bị điều kiện: SQL fixture ShoegroupAudit_20260909_fixed; API port 5100; synthetic test accounts; no real payment/email sent. 2) Thực hiện scenario: Failed product image insert rolls back whole product 3) Kiểm tra HTTP/UI/SQL/job side effects. 4) Đối chiếu với kết quả mong đợi và lưu evidence.</x:v>
      </x:c>
      <x:c r="I48" s="33" t="str">
        <x:v>500 and no partially created product</x:v>
      </x:c>
      <x:c r="J48" s="33" t="str">
        <x:v>{"status":500,"data":{"error":"Audit injected image failure"}}</x:v>
      </x:c>
      <x:c r="K48" s="33" t="str">
        <x:v>PASS</x:v>
      </x:c>
      <x:c r="L48" s="33" t="str">
        <x:v>Automated / evidence</x:v>
      </x:c>
      <x:c r="M48" s="33" t="str">
        <x:v>2026-09-09</x:v>
      </x:c>
      <x:c r="N48" s="33" t="str">
        <x:v>Historical audit / QA evidence</x:v>
      </x:c>
      <x:c r="O48" s="33" t="str">
        <x:v>docs/audit/extended-results.json; AUDIT-2026-09-09.md</x:v>
      </x:c>
      <x:c r="P48" s="33" t="str"/>
      <x:c r="Q48" s="33" t="str">
        <x:v>PASS theo bằng chứng lịch sử; không chạy lại trong lần tạo workbook này.</x:v>
      </x:c>
    </x:row>
    <x:row r="49" ht="72" customHeight="1">
      <x:c r="A49" s="33" t="str">
        <x:v>R12</x:v>
      </x:c>
      <x:c r="B49" s="33" t="str">
        <x:v>Auth</x:v>
      </x:c>
      <x:c r="C49" s="33" t="str">
        <x:v>Integration / API / SQL</x:v>
      </x:c>
      <x:c r="D49" s="33" t="str">
        <x:v>P1</x:v>
      </x:c>
      <x:c r="E49" s="33" t="str">
        <x:v>Disabled account cannot reuse existing JWT</x:v>
      </x:c>
      <x:c r="F49" s="33" t="str">
        <x:v>SQL fixture ShoegroupAudit_20260909_fixed; API port 5100; synthetic test accounts; no real payment/email sent.</x:v>
      </x:c>
      <x:c r="G49" s="33" t="str">
        <x:v>Disabled account cannot reuse existing JWT</x:v>
      </x:c>
      <x:c r="H49" s="33" t="str">
        <x:v>1) Chuẩn bị điều kiện: SQL fixture ShoegroupAudit_20260909_fixed; API port 5100; synthetic test accounts; no real payment/email sent. 2) Thực hiện scenario: Disabled account cannot reuse existing JWT 3) Kiểm tra HTTP/UI/SQL/job side effects. 4) Đối chiếu với kết quả mong đợi và lưu evidence.</x:v>
      </x:c>
      <x:c r="I49" s="33" t="str">
        <x:v>401 after disable</x:v>
      </x:c>
      <x:c r="J49" s="33" t="str">
        <x:v>{"status":401,"data":{"success":false,"message":"Tài khoản không còn hoạt động."}}</x:v>
      </x:c>
      <x:c r="K49" s="33" t="str">
        <x:v>PASS</x:v>
      </x:c>
      <x:c r="L49" s="33" t="str">
        <x:v>Automated / evidence</x:v>
      </x:c>
      <x:c r="M49" s="33" t="str">
        <x:v>2026-09-09</x:v>
      </x:c>
      <x:c r="N49" s="33" t="str">
        <x:v>Historical audit / QA evidence</x:v>
      </x:c>
      <x:c r="O49" s="33" t="str">
        <x:v>docs/audit/extended-results.json; AUDIT-2026-09-09.md</x:v>
      </x:c>
      <x:c r="P49" s="33" t="str"/>
      <x:c r="Q49" s="33" t="str">
        <x:v>PASS theo bằng chứng lịch sử; không chạy lại trong lần tạo workbook này.</x:v>
      </x:c>
    </x:row>
    <x:row r="50" ht="72" customHeight="1">
      <x:c r="A50" s="33" t="str">
        <x:v>R13</x:v>
      </x:c>
      <x:c r="B50" s="33" t="str">
        <x:v>Return / Refund</x:v>
      </x:c>
      <x:c r="C50" s="33" t="str">
        <x:v>Integration / API / SQL</x:v>
      </x:c>
      <x:c r="D50" s="33" t="str">
        <x:v>P1</x:v>
      </x:c>
      <x:c r="E50" s="33" t="str">
        <x:v>Legacy SQL negative purchase quantity</x:v>
      </x:c>
      <x:c r="F50" s="33" t="str">
        <x:v>SQL fixture ShoegroupAudit_20260909_fixed; API port 5100; synthetic test accounts; no real payment/email sent.</x:v>
      </x:c>
      <x:c r="G50" s="33" t="str">
        <x:v>Legacy SQL negative purchase quantity</x:v>
      </x:c>
      <x:c r="H50" s="33" t="str">
        <x:v>1) Chuẩn bị điều kiện: SQL fixture ShoegroupAudit_20260909_fixed; API port 5100; synthetic test accounts; no real payment/email sent. 2) Thực hiện scenario: Legacy SQL negative purchase quantity 3) Kiểm tra HTTP/UI/SQL/job side effects. 4) Đối chiếu với kết quả mong đợi và lưu evidence.</x:v>
      </x:c>
      <x:c r="I50" s="33" t="str">
        <x:v>rejected; stock unchanged</x:v>
      </x:c>
      <x:c r="J50" s="33" t="str">
        <x:v>[{"ok":false}]</x:v>
      </x:c>
      <x:c r="K50" s="33" t="str">
        <x:v>PASS</x:v>
      </x:c>
      <x:c r="L50" s="33" t="str">
        <x:v>Automated / evidence</x:v>
      </x:c>
      <x:c r="M50" s="33" t="str">
        <x:v>2026-09-09</x:v>
      </x:c>
      <x:c r="N50" s="33" t="str">
        <x:v>Historical audit / QA evidence</x:v>
      </x:c>
      <x:c r="O50" s="33" t="str">
        <x:v>docs/audit/extended-results.json; AUDIT-2026-09-09.md</x:v>
      </x:c>
      <x:c r="P50" s="33" t="str"/>
      <x:c r="Q50" s="33" t="str">
        <x:v>PASS theo bằng chứng lịch sử; không chạy lại trong lần tạo workbook này.</x:v>
      </x:c>
    </x:row>
    <x:row r="51" ht="72" customHeight="1">
      <x:c r="A51" s="33" t="str">
        <x:v>R14</x:v>
      </x:c>
      <x:c r="B51" s="33" t="str">
        <x:v>Return / Refund</x:v>
      </x:c>
      <x:c r="C51" s="33" t="str">
        <x:v>Integration / API / SQL</x:v>
      </x:c>
      <x:c r="D51" s="33" t="str">
        <x:v>P0</x:v>
      </x:c>
      <x:c r="E51" s="33" t="str">
        <x:v>Direct SQL quantity and payment transaction uniqueness constraints</x:v>
      </x:c>
      <x:c r="F51" s="33" t="str">
        <x:v>SQL fixture ShoegroupAudit_20260909_fixed; API port 5100; synthetic test accounts; no real payment/email sent.</x:v>
      </x:c>
      <x:c r="G51" s="33" t="str">
        <x:v>Direct SQL quantity and payment transaction uniqueness constraints</x:v>
      </x:c>
      <x:c r="H51" s="33" t="str">
        <x:v>1) Chuẩn bị điều kiện: SQL fixture ShoegroupAudit_20260909_fixed; API port 5100; synthetic test accounts; no real payment/email sent. 2) Thực hiện scenario: Direct SQL quantity and payment transaction uniqueness constraints 3) Kiểm tra HTTP/UI/SQL/job side effects. 4) Đối chiếu với kết quả mong đợi và lưu evidence.</x:v>
      </x:c>
      <x:c r="I51" s="33" t="str">
        <x:v>invalid quantity and repeated provider reference rejected</x:v>
      </x:c>
      <x:c r="J51" s="33" t="str">
        <x:v>{"qty":true,"unique":true}</x:v>
      </x:c>
      <x:c r="K51" s="33" t="str">
        <x:v>PASS</x:v>
      </x:c>
      <x:c r="L51" s="33" t="str">
        <x:v>Automated / evidence</x:v>
      </x:c>
      <x:c r="M51" s="33" t="str">
        <x:v>2026-09-09</x:v>
      </x:c>
      <x:c r="N51" s="33" t="str">
        <x:v>Historical audit / QA evidence</x:v>
      </x:c>
      <x:c r="O51" s="33" t="str">
        <x:v>docs/audit/extended-results.json; AUDIT-2026-09-09.md</x:v>
      </x:c>
      <x:c r="P51" s="33" t="str"/>
      <x:c r="Q51" s="33" t="str">
        <x:v>PASS theo bằng chứng lịch sử; không chạy lại trong lần tạo workbook này.</x:v>
      </x:c>
    </x:row>
    <x:row r="52" ht="72" customHeight="1">
      <x:c r="A52" s="33" t="str">
        <x:v>B01</x:v>
      </x:c>
      <x:c r="B52" s="33" t="str">
        <x:v>Inventory / Concurrency</x:v>
      </x:c>
      <x:c r="C52" s="33" t="str">
        <x:v>Integration / API / SQL</x:v>
      </x:c>
      <x:c r="D52" s="33" t="str">
        <x:v>P1</x:v>
      </x:c>
      <x:c r="E52" s="33" t="str">
        <x:v>Stale inventory editor after sale</x:v>
      </x:c>
      <x:c r="F52" s="33" t="str">
        <x:v>SQL fixture ShoegroupAudit_20260909_fixed; API port 5100; synthetic test accounts; no real payment/email sent.</x:v>
      </x:c>
      <x:c r="G52" s="33" t="str">
        <x:v>Stale inventory editor after sale</x:v>
      </x:c>
      <x:c r="H52" s="33" t="str">
        <x:v>1) Chuẩn bị điều kiện: SQL fixture ShoegroupAudit_20260909_fixed; API port 5100; synthetic test accounts; no real payment/email sent. 2) Thực hiện scenario: Stale inventory editor after sale 3) Kiểm tra HTTP/UI/SQL/job side effects. 4) Đối chiếu với kết quả mong đợi và lưu evidence.</x:v>
      </x:c>
      <x:c r="I52" s="33" t="str">
        <x:v>409 and stock remains 9; refreshed edit succeeds</x:v>
      </x:c>
      <x:c r="J52" s="33" t="str">
        <x:v>[{"status":409,"data":{"success":false,"code":"STOCK_VERSION_CONFLICT","message":"Biến thể không còn tồn tại hoặc tồn kho đã thay đổi; hãy tải lại."}},{"status":200,"data":{"success":true,"stock":11,"version":2}}]</x:v>
      </x:c>
      <x:c r="K52" s="33" t="str">
        <x:v>PASS</x:v>
      </x:c>
      <x:c r="L52" s="33" t="str">
        <x:v>Automated / evidence</x:v>
      </x:c>
      <x:c r="M52" s="33" t="str">
        <x:v>2026-09-09</x:v>
      </x:c>
      <x:c r="N52" s="33" t="str">
        <x:v>Historical audit / QA evidence</x:v>
      </x:c>
      <x:c r="O52" s="33" t="str">
        <x:v>docs/audit/boundary-results.json; AUDIT-2026-09-09.md</x:v>
      </x:c>
      <x:c r="P52" s="33" t="str"/>
      <x:c r="Q52" s="33" t="str">
        <x:v>PASS theo bằng chứng lịch sử; không chạy lại trong lần tạo workbook này.</x:v>
      </x:c>
    </x:row>
    <x:row r="53" ht="72" customHeight="1">
      <x:c r="A53" s="33" t="str">
        <x:v>B02</x:v>
      </x:c>
      <x:c r="B53" s="33" t="str">
        <x:v>Inventory / Concurrency</x:v>
      </x:c>
      <x:c r="C53" s="33" t="str">
        <x:v>Integration / API / SQL</x:v>
      </x:c>
      <x:c r="D53" s="33" t="str">
        <x:v>P1</x:v>
      </x:c>
      <x:c r="E53" s="33" t="str">
        <x:v>Stale product form cannot overwrite sold inventory</x:v>
      </x:c>
      <x:c r="F53" s="33" t="str">
        <x:v>SQL fixture ShoegroupAudit_20260909_fixed; API port 5100; synthetic test accounts; no real payment/email sent.</x:v>
      </x:c>
      <x:c r="G53" s="33" t="str">
        <x:v>Stale product form cannot overwrite sold inventory</x:v>
      </x:c>
      <x:c r="H53" s="33" t="str">
        <x:v>1) Chuẩn bị điều kiện: SQL fixture ShoegroupAudit_20260909_fixed; API port 5100; synthetic test accounts; no real payment/email sent. 2) Thực hiện scenario: Stale product form cannot overwrite sold inventory 3) Kiểm tra HTTP/UI/SQL/job side effects. 4) Đối chiếu với kết quả mong đợi và lưu evidence.</x:v>
      </x:c>
      <x:c r="I53" s="33" t="str">
        <x:v>409; product and stock both unchanged</x:v>
      </x:c>
      <x:c r="J53" s="33" t="str">
        <x:v>{"status":409,"data":{"error":"Tồn kho đã thay đổi hoặc thiếu phiên bản. Hãy tải lại sản phẩm trước khi lưu."}}</x:v>
      </x:c>
      <x:c r="K53" s="33" t="str">
        <x:v>PASS</x:v>
      </x:c>
      <x:c r="L53" s="33" t="str">
        <x:v>Automated / evidence</x:v>
      </x:c>
      <x:c r="M53" s="33" t="str">
        <x:v>2026-09-09</x:v>
      </x:c>
      <x:c r="N53" s="33" t="str">
        <x:v>Historical audit / QA evidence</x:v>
      </x:c>
      <x:c r="O53" s="33" t="str">
        <x:v>docs/audit/boundary-results.json; AUDIT-2026-09-09.md</x:v>
      </x:c>
      <x:c r="P53" s="33" t="str"/>
      <x:c r="Q53" s="33" t="str">
        <x:v>PASS theo bằng chứng lịch sử; không chạy lại trong lần tạo workbook này.</x:v>
      </x:c>
    </x:row>
    <x:row r="54" ht="72" customHeight="1">
      <x:c r="A54" s="33" t="str">
        <x:v>B03</x:v>
      </x:c>
      <x:c r="B54" s="33" t="str">
        <x:v>Payment / POS</x:v>
      </x:c>
      <x:c r="C54" s="33" t="str">
        <x:v>Integration / API / SQL</x:v>
      </x:c>
      <x:c r="D54" s="33" t="str">
        <x:v>P0</x:v>
      </x:c>
      <x:c r="E54" s="33" t="str">
        <x:v>Payment hold is 24 real hours, DB clock maps correctly</x:v>
      </x:c>
      <x:c r="F54" s="33" t="str">
        <x:v>SQL fixture ShoegroupAudit_20260909_fixed; API port 5100; synthetic test accounts; no real payment/email sent.</x:v>
      </x:c>
      <x:c r="G54" s="33" t="str">
        <x:v>Payment hold is 24 real hours, DB clock maps correctly</x:v>
      </x:c>
      <x:c r="H54" s="33" t="str">
        <x:v>1) Chuẩn bị điều kiện: SQL fixture ShoegroupAudit_20260909_fixed; API port 5100; synthetic test accounts; no real payment/email sent. 2) Thực hiện scenario: Payment hold is 24 real hours, DB clock maps correctly 3) Kiểm tra HTTP/UI/SQL/job side effects. 4) Đối chiếu với kết quả mong đợi và lưu evidence.</x:v>
      </x:c>
      <x:c r="I54" s="33" t="str">
        <x:v>24 hours (+/- 5 seconds), DB time within 2s</x:v>
      </x:c>
      <x:c r="J54" s="33" t="str">
        <x:v>{"hours":23.99998,"row":{"PaymentDueAt":"2026-09-10T10:23:55.077Z","localTime":"2026-09-09T10:23:55.147Z"}}</x:v>
      </x:c>
      <x:c r="K54" s="33" t="str">
        <x:v>PASS</x:v>
      </x:c>
      <x:c r="L54" s="33" t="str">
        <x:v>Automated / evidence</x:v>
      </x:c>
      <x:c r="M54" s="33" t="str">
        <x:v>2026-09-09</x:v>
      </x:c>
      <x:c r="N54" s="33" t="str">
        <x:v>Historical audit / QA evidence</x:v>
      </x:c>
      <x:c r="O54" s="33" t="str">
        <x:v>docs/audit/boundary-results.json; AUDIT-2026-09-09.md</x:v>
      </x:c>
      <x:c r="P54" s="33" t="str"/>
      <x:c r="Q54" s="33" t="str">
        <x:v>PASS theo bằng chứng lịch sử; không chạy lại trong lần tạo workbook này.</x:v>
      </x:c>
    </x:row>
    <x:row r="55" ht="72" customHeight="1">
      <x:c r="A55" s="33" t="str">
        <x:v>B04</x:v>
      </x:c>
      <x:c r="B55" s="33" t="str">
        <x:v>Inventory / Concurrency</x:v>
      </x:c>
      <x:c r="C55" s="33" t="str">
        <x:v>Integration / API / SQL</x:v>
      </x:c>
      <x:c r="D55" s="33" t="str">
        <x:v>P1</x:v>
      </x:c>
      <x:c r="E55" s="33" t="str">
        <x:v>Same SKU group requested in reverse order by 5 users</x:v>
      </x:c>
      <x:c r="F55" s="33" t="str">
        <x:v>SQL fixture ShoegroupAudit_20260909_fixed; API port 5100; synthetic test accounts; no real payment/email sent.</x:v>
      </x:c>
      <x:c r="G55" s="33" t="str">
        <x:v>Same SKU group requested in reverse order by 5 users</x:v>
      </x:c>
      <x:c r="H55" s="33" t="str">
        <x:v>1) Chuẩn bị điều kiện: SQL fixture ShoegroupAudit_20260909_fixed; API port 5100; synthetic test accounts; no real payment/email sent. 2) Thực hiện scenario: Same SKU group requested in reverse order by 5 users 3) Kiểm tra HTTP/UI/SQL/job side effects. 4) Đối chiếu với kết quả mong đợi và lưu evidence.</x:v>
      </x:c>
      <x:c r="I55" s="33" t="str">
        <x:v>all success with sufficient stock; no deadlock</x:v>
      </x:c>
      <x:c r="J55" s="33" t="str">
        <x:v>[200,200,200,200,200]</x:v>
      </x:c>
      <x:c r="K55" s="33" t="str">
        <x:v>PASS</x:v>
      </x:c>
      <x:c r="L55" s="33" t="str">
        <x:v>Automated / evidence</x:v>
      </x:c>
      <x:c r="M55" s="33" t="str">
        <x:v>2026-09-09</x:v>
      </x:c>
      <x:c r="N55" s="33" t="str">
        <x:v>Historical audit / QA evidence</x:v>
      </x:c>
      <x:c r="O55" s="33" t="str">
        <x:v>docs/audit/boundary-results.json; AUDIT-2026-09-09.md</x:v>
      </x:c>
      <x:c r="P55" s="33" t="str"/>
      <x:c r="Q55" s="33" t="str">
        <x:v>PASS theo bằng chứng lịch sử; không chạy lại trong lần tạo workbook này.</x:v>
      </x:c>
    </x:row>
    <x:row r="56" ht="72" customHeight="1">
      <x:c r="A56" s="33" t="str">
        <x:v>B05</x:v>
      </x:c>
      <x:c r="B56" s="33" t="str">
        <x:v>Coupon</x:v>
      </x:c>
      <x:c r="C56" s="33" t="str">
        <x:v>Integration / API / SQL</x:v>
      </x:c>
      <x:c r="D56" s="33" t="str">
        <x:v>P0</x:v>
      </x:c>
      <x:c r="E56" s="33" t="str">
        <x:v>Failure after order/items/stock/coupon counter mutation</x:v>
      </x:c>
      <x:c r="F56" s="33" t="str">
        <x:v>SQL fixture ShoegroupAudit_20260909_fixed; API port 5100; synthetic test accounts; no real payment/email sent.</x:v>
      </x:c>
      <x:c r="G56" s="33" t="str">
        <x:v>Failure after order/items/stock/coupon counter mutation</x:v>
      </x:c>
      <x:c r="H56" s="33" t="str">
        <x:v>1) Chuẩn bị điều kiện: SQL fixture ShoegroupAudit_20260909_fixed; API port 5100; synthetic test accounts; no real payment/email sent. 2) Thực hiện scenario: Failure after order/items/stock/coupon counter mutation 3) Kiểm tra HTTP/UI/SQL/job side effects. 4) Đối chiếu với kết quả mong đợi và lưu evidence.</x:v>
      </x:c>
      <x:c r="I56" s="33" t="str">
        <x:v>all changes rolled back; same idempotency key can retry</x:v>
      </x:c>
      <x:c r="J56" s="33" t="str">
        <x:v>{"failed":{"status":500,"data":{"success":false,"message":"Audit injected coupon ledger failure","code":"EREQUEST"}},"retry":{"status":200,"data":{"success":true,"orderId":155,"OrderID":155,"subtotalAmount":500000,"shippingFee":75000,"discountAmount":50000,"totalAmount":525000,"shippingMethodCode":"STANDARD","shippingMethodId":1,"distanceKm":1720,"eta":"4-5 ngày"}}}</x:v>
      </x:c>
      <x:c r="K56" s="33" t="str">
        <x:v>PASS</x:v>
      </x:c>
      <x:c r="L56" s="33" t="str">
        <x:v>Automated / evidence</x:v>
      </x:c>
      <x:c r="M56" s="33" t="str">
        <x:v>2026-09-09</x:v>
      </x:c>
      <x:c r="N56" s="33" t="str">
        <x:v>Historical audit / QA evidence</x:v>
      </x:c>
      <x:c r="O56" s="33" t="str">
        <x:v>docs/audit/boundary-results.json; AUDIT-2026-09-09.md</x:v>
      </x:c>
      <x:c r="P56" s="33" t="str"/>
      <x:c r="Q56" s="33" t="str">
        <x:v>PASS theo bằng chứng lịch sử; không chạy lại trong lần tạo workbook này.</x:v>
      </x:c>
    </x:row>
    <x:row r="57" ht="72" customHeight="1">
      <x:c r="A57" s="33" t="str">
        <x:v>B06</x:v>
      </x:c>
      <x:c r="B57" s="33" t="str">
        <x:v>Order / Boundary</x:v>
      </x:c>
      <x:c r="C57" s="33" t="str">
        <x:v>Integration / API / SQL</x:v>
      </x:c>
      <x:c r="D57" s="33" t="str">
        <x:v>P1</x:v>
      </x:c>
      <x:c r="E57" s="33" t="str">
        <x:v>Manual confirmation amount/currency mismatch</x:v>
      </x:c>
      <x:c r="F57" s="33" t="str">
        <x:v>SQL fixture ShoegroupAudit_20260909_fixed; API port 5100; synthetic test accounts; no real payment/email sent.</x:v>
      </x:c>
      <x:c r="G57" s="33" t="str">
        <x:v>Manual confirmation amount/currency mismatch</x:v>
      </x:c>
      <x:c r="H57" s="33" t="str">
        <x:v>1) Chuẩn bị điều kiện: SQL fixture ShoegroupAudit_20260909_fixed; API port 5100; synthetic test accounts; no real payment/email sent. 2) Thực hiện scenario: Manual confirmation amount/currency mismatch 3) Kiểm tra HTTP/UI/SQL/job side effects. 4) Đối chiếu với kết quả mong đợi và lưu evidence.</x:v>
      </x:c>
      <x:c r="I57" s="33" t="str">
        <x:v>409, order remains unpaid</x:v>
      </x:c>
      <x:c r="J57" s="33" t="str">
        <x:v>[{"status":409,"data":{"success":false,"message":"Số tiền hoặc loại tiền không khớp với đơn hàng."}},{"status":409,"data":{"success":false,"message":"Số tiền hoặc loại tiền không khớp với đơn hàng."}}]</x:v>
      </x:c>
      <x:c r="K57" s="33" t="str">
        <x:v>PASS</x:v>
      </x:c>
      <x:c r="L57" s="33" t="str">
        <x:v>Automated / evidence</x:v>
      </x:c>
      <x:c r="M57" s="33" t="str">
        <x:v>2026-09-09</x:v>
      </x:c>
      <x:c r="N57" s="33" t="str">
        <x:v>Historical audit / QA evidence</x:v>
      </x:c>
      <x:c r="O57" s="33" t="str">
        <x:v>docs/audit/boundary-results.json; AUDIT-2026-09-09.md</x:v>
      </x:c>
      <x:c r="P57" s="33" t="str"/>
      <x:c r="Q57" s="33" t="str">
        <x:v>PASS theo bằng chứng lịch sử; không chạy lại trong lần tạo workbook này.</x:v>
      </x:c>
    </x:row>
    <x:row r="58" ht="72" customHeight="1">
      <x:c r="A58" s="33" t="str">
        <x:v>B07</x:v>
      </x:c>
      <x:c r="B58" s="33" t="str">
        <x:v>Coupon</x:v>
      </x:c>
      <x:c r="C58" s="33" t="str">
        <x:v>Integration / API / SQL</x:v>
      </x:c>
      <x:c r="D58" s="33" t="str">
        <x:v>P1</x:v>
      </x:c>
      <x:c r="E58" s="33" t="str">
        <x:v>Coupon start/end exact boundaries use persisted instants</x:v>
      </x:c>
      <x:c r="F58" s="33" t="str">
        <x:v>SQL fixture ShoegroupAudit_20260909_fixed; API port 5100; synthetic test accounts; no real payment/email sent.</x:v>
      </x:c>
      <x:c r="G58" s="33" t="str">
        <x:v>Coupon start/end exact boundaries use persisted instants</x:v>
      </x:c>
      <x:c r="H58" s="33" t="str">
        <x:v>1) Chuẩn bị điều kiện: SQL fixture ShoegroupAudit_20260909_fixed; API port 5100; synthetic test accounts; no real payment/email sent. 2) Thực hiện scenario: Coupon start/end exact boundaries use persisted instants 3) Kiểm tra HTTP/UI/SQL/job side effects. 4) Đối chiếu với kết quả mong đợi và lưu evidence.</x:v>
      </x:c>
      <x:c r="I58" s="33" t="str">
        <x:v>before start false; start true; before end true; end true; after end false</x:v>
      </x:c>
      <x:c r="J58" s="33" t="str">
        <x:v>[0,1,1,1,0]</x:v>
      </x:c>
      <x:c r="K58" s="33" t="str">
        <x:v>PASS</x:v>
      </x:c>
      <x:c r="L58" s="33" t="str">
        <x:v>Automated / evidence</x:v>
      </x:c>
      <x:c r="M58" s="33" t="str">
        <x:v>2026-09-09</x:v>
      </x:c>
      <x:c r="N58" s="33" t="str">
        <x:v>Historical audit / QA evidence</x:v>
      </x:c>
      <x:c r="O58" s="33" t="str">
        <x:v>docs/audit/boundary-results.json; AUDIT-2026-09-09.md</x:v>
      </x:c>
      <x:c r="P58" s="33" t="str"/>
      <x:c r="Q58" s="33" t="str">
        <x:v>PASS theo bằng chứng lịch sử; không chạy lại trong lần tạo workbook này.</x:v>
      </x:c>
    </x:row>
    <x:row r="59" ht="72" customHeight="1">
      <x:c r="A59" s="33" t="str">
        <x:v>B08</x:v>
      </x:c>
      <x:c r="B59" s="33" t="str">
        <x:v>Coupon</x:v>
      </x:c>
      <x:c r="C59" s="33" t="str">
        <x:v>Integration / API / SQL</x:v>
      </x:c>
      <x:c r="D59" s="33" t="str">
        <x:v>P1</x:v>
      </x:c>
      <x:c r="E59" s="33" t="str">
        <x:v>Coupon minimum and maximum discount cap</x:v>
      </x:c>
      <x:c r="F59" s="33" t="str">
        <x:v>SQL fixture ShoegroupAudit_20260909_fixed; API port 5100; synthetic test accounts; no real payment/email sent.</x:v>
      </x:c>
      <x:c r="G59" s="33" t="str">
        <x:v>Coupon minimum and maximum discount cap</x:v>
      </x:c>
      <x:c r="H59" s="33" t="str">
        <x:v>1) Chuẩn bị điều kiện: SQL fixture ShoegroupAudit_20260909_fixed; API port 5100; synthetic test accounts; no real payment/email sent. 2) Thực hiện scenario: Coupon minimum and maximum discount cap 3) Kiểm tra HTTP/UI/SQL/job side effects. 4) Đối chiếu với kết quả mong đợi và lưu evidence.</x:v>
      </x:c>
      <x:c r="I59" s="33" t="str">
        <x:v>below min 409, max discount 20000</x:v>
      </x:c>
      <x:c r="J59" s="33" t="str">
        <x:v>[{"status":409,"data":{"success":false,"message":"Don hang chua dat gia tri toi thieu cua ma giam gia."}},{"status":200,"data":{"success":true,"orderId":157,"OrderID":157,"subtotalAmount":1000000,"shippingFee":75000,"discountAmount":20000,"totalAmount":1055000,"shippingMethodCode":"STANDARD","shippingMethodId":1,"distanceKm":1720,"eta":"4-5 ngày"}}]</x:v>
      </x:c>
      <x:c r="K59" s="33" t="str">
        <x:v>PASS</x:v>
      </x:c>
      <x:c r="L59" s="33" t="str">
        <x:v>Automated / evidence</x:v>
      </x:c>
      <x:c r="M59" s="33" t="str">
        <x:v>2026-09-09</x:v>
      </x:c>
      <x:c r="N59" s="33" t="str">
        <x:v>Historical audit / QA evidence</x:v>
      </x:c>
      <x:c r="O59" s="33" t="str">
        <x:v>docs/audit/boundary-results.json; AUDIT-2026-09-09.md</x:v>
      </x:c>
      <x:c r="P59" s="33" t="str"/>
      <x:c r="Q59" s="33" t="str">
        <x:v>PASS theo bằng chứng lịch sử; không chạy lại trong lần tạo workbook này.</x:v>
      </x:c>
    </x:row>
    <x:row r="60" ht="72" customHeight="1">
      <x:c r="A60" s="33" t="str">
        <x:v>B09</x:v>
      </x:c>
      <x:c r="B60" s="33" t="str">
        <x:v>Auth / Admin</x:v>
      </x:c>
      <x:c r="C60" s="33" t="str">
        <x:v>Integration / API / SQL</x:v>
      </x:c>
      <x:c r="D60" s="33" t="str">
        <x:v>P1</x:v>
      </x:c>
      <x:c r="E60" s="33" t="str">
        <x:v>Old admin JWT after demotion</x:v>
      </x:c>
      <x:c r="F60" s="33" t="str">
        <x:v>SQL fixture ShoegroupAudit_20260909_fixed; API port 5100; synthetic test accounts; no real payment/email sent.</x:v>
      </x:c>
      <x:c r="G60" s="33" t="str">
        <x:v>Old admin JWT after demotion</x:v>
      </x:c>
      <x:c r="H60" s="33" t="str">
        <x:v>1) Chuẩn bị điều kiện: SQL fixture ShoegroupAudit_20260909_fixed; API port 5100; synthetic test accounts; no real payment/email sent. 2) Thực hiện scenario: Old admin JWT after demotion 3) Kiểm tra HTTP/UI/SQL/job side effects. 4) Đối chiếu với kết quả mong đợi và lưu evidence.</x:v>
      </x:c>
      <x:c r="I60" s="33" t="str">
        <x:v>403 admin access</x:v>
      </x:c>
      <x:c r="J60" s="33" t="str">
        <x:v>{"status":403,"data":{"success":false,"message":"Ban khong co quyen thuc hien thao tac nay."}}</x:v>
      </x:c>
      <x:c r="K60" s="33" t="str">
        <x:v>PASS</x:v>
      </x:c>
      <x:c r="L60" s="33" t="str">
        <x:v>Automated / evidence</x:v>
      </x:c>
      <x:c r="M60" s="33" t="str">
        <x:v>2026-09-09</x:v>
      </x:c>
      <x:c r="N60" s="33" t="str">
        <x:v>Historical audit / QA evidence</x:v>
      </x:c>
      <x:c r="O60" s="33" t="str">
        <x:v>docs/audit/boundary-results.json; AUDIT-2026-09-09.md</x:v>
      </x:c>
      <x:c r="P60" s="33" t="str"/>
      <x:c r="Q60" s="33" t="str">
        <x:v>PASS theo bằng chứng lịch sử; không chạy lại trong lần tạo workbook này.</x:v>
      </x:c>
    </x:row>
    <x:row r="61" ht="72" customHeight="1">
      <x:c r="A61" s="33" t="str">
        <x:v>B10</x:v>
      </x:c>
      <x:c r="B61" s="33" t="str">
        <x:v>Payment / POS</x:v>
      </x:c>
      <x:c r="C61" s="33" t="str">
        <x:v>Integration / API / SQL</x:v>
      </x:c>
      <x:c r="D61" s="33" t="str">
        <x:v>P0</x:v>
      </x:c>
      <x:c r="E61" s="33" t="str">
        <x:v>POS creates real internal collection ledger and revenue deadline</x:v>
      </x:c>
      <x:c r="F61" s="33" t="str">
        <x:v>SQL fixture ShoegroupAudit_20260909_fixed; API port 5100; synthetic test accounts; no real payment/email sent.</x:v>
      </x:c>
      <x:c r="G61" s="33" t="str">
        <x:v>POS creates real internal collection ledger and revenue deadline</x:v>
      </x:c>
      <x:c r="H61" s="33" t="str">
        <x:v>1) Chuẩn bị điều kiện: SQL fixture ShoegroupAudit_20260909_fixed; API port 5100; synthetic test accounts; no real payment/email sent. 2) Thực hiện scenario: POS creates real internal collection ledger and revenue deadline 3) Kiểm tra HTTP/UI/SQL/job side effects. 4) Đối chiếu với kết quả mong đợi và lưu evidence.</x:v>
      </x:c>
      <x:c r="I61" s="33" t="str">
        <x:v>one collection and 14-day eligibility</x:v>
      </x:c>
      <x:c r="J61" s="33" t="str">
        <x:v>[{"Provider":"POS_CASH","Amount":500000,"SignatureValid":false}]</x:v>
      </x:c>
      <x:c r="K61" s="33" t="str">
        <x:v>PASS</x:v>
      </x:c>
      <x:c r="L61" s="33" t="str">
        <x:v>Automated / evidence</x:v>
      </x:c>
      <x:c r="M61" s="33" t="str">
        <x:v>2026-09-09</x:v>
      </x:c>
      <x:c r="N61" s="33" t="str">
        <x:v>Historical audit / QA evidence</x:v>
      </x:c>
      <x:c r="O61" s="33" t="str">
        <x:v>docs/audit/boundary-results.json; AUDIT-2026-09-09.md</x:v>
      </x:c>
      <x:c r="P61" s="33" t="str"/>
      <x:c r="Q61" s="33" t="str">
        <x:v>PASS theo bằng chứng lịch sử; không chạy lại trong lần tạo workbook này.</x:v>
      </x:c>
    </x:row>
    <x:row r="62" ht="72" customHeight="1">
      <x:c r="A62" s="33" t="str">
        <x:v>B11</x:v>
      </x:c>
      <x:c r="B62" s="33" t="str">
        <x:v>Payment / POS</x:v>
      </x:c>
      <x:c r="C62" s="33" t="str">
        <x:v>Integration / API / SQL</x:v>
      </x:c>
      <x:c r="D62" s="33" t="str">
        <x:v>P0</x:v>
      </x:c>
      <x:c r="E62" s="33" t="str">
        <x:v>Paid POS awaiting fulfillment has collection but no recognized revenue</x:v>
      </x:c>
      <x:c r="F62" s="33" t="str">
        <x:v>SQL fixture ShoegroupAudit_20260909_fixed; API port 5100; synthetic test accounts; no real payment/email sent.</x:v>
      </x:c>
      <x:c r="G62" s="33" t="str">
        <x:v>Paid POS awaiting fulfillment has collection but no recognized revenue</x:v>
      </x:c>
      <x:c r="H62" s="33" t="str">
        <x:v>1) Chuẩn bị điều kiện: SQL fixture ShoegroupAudit_20260909_fixed; API port 5100; synthetic test accounts; no real payment/email sent. 2) Thực hiện scenario: Paid POS awaiting fulfillment has collection but no recognized revenue 3) Kiểm tra HTTP/UI/SQL/job side effects. 4) Đối chiếu với kết quả mong đợi và lưu evidence.</x:v>
      </x:c>
      <x:c r="I62" s="33" t="str">
        <x:v>one payment; no received/revenue date</x:v>
      </x:c>
      <x:c r="J62" s="33" t="str">
        <x:v>{"state":{"PaymentConfirmedAt":"2026-09-09T10:23:55.953Z","RevenueEligibleDate":null},"tx":[{"Amount":500000}]}</x:v>
      </x:c>
      <x:c r="K62" s="33" t="str">
        <x:v>PASS</x:v>
      </x:c>
      <x:c r="L62" s="33" t="str">
        <x:v>Automated / evidence</x:v>
      </x:c>
      <x:c r="M62" s="33" t="str">
        <x:v>2026-09-09</x:v>
      </x:c>
      <x:c r="N62" s="33" t="str">
        <x:v>Historical audit / QA evidence</x:v>
      </x:c>
      <x:c r="O62" s="33" t="str">
        <x:v>docs/audit/boundary-results.json; AUDIT-2026-09-09.md</x:v>
      </x:c>
      <x:c r="P62" s="33" t="str"/>
      <x:c r="Q62" s="33" t="str">
        <x:v>PASS theo bằng chứng lịch sử; không chạy lại trong lần tạo workbook này.</x:v>
      </x:c>
    </x:row>
    <x:row r="63" ht="72" customHeight="1">
      <x:c r="A63" s="33" t="str">
        <x:v>B12</x:v>
      </x:c>
      <x:c r="B63" s="33" t="str">
        <x:v>Order / Boundary</x:v>
      </x:c>
      <x:c r="C63" s="33" t="str">
        <x:v>Integration / API / SQL</x:v>
      </x:c>
      <x:c r="D63" s="33" t="str">
        <x:v>P1</x:v>
      </x:c>
      <x:c r="E63" s="33" t="str">
        <x:v>Generic order status cannot bypass return approval and refund</x:v>
      </x:c>
      <x:c r="F63" s="33" t="str">
        <x:v>SQL fixture ShoegroupAudit_20260909_fixed; API port 5100; synthetic test accounts; no real payment/email sent.</x:v>
      </x:c>
      <x:c r="G63" s="33" t="str">
        <x:v>Generic order status cannot bypass return approval and refund</x:v>
      </x:c>
      <x:c r="H63" s="33" t="str">
        <x:v>1) Chuẩn bị điều kiện: SQL fixture ShoegroupAudit_20260909_fixed; API port 5100; synthetic test accounts; no real payment/email sent. 2) Thực hiện scenario: Generic order status cannot bypass return approval and refund 3) Kiểm tra HTTP/UI/SQL/job side effects. 4) Đối chiếu với kết quả mong đợi và lưu evidence.</x:v>
      </x:c>
      <x:c r="I63" s="33" t="str">
        <x:v>409, no refund</x:v>
      </x:c>
      <x:c r="J63" s="33" t="str">
        <x:v>{"status":409,"data":{"success":false,"code":"RETURN_FLOW_REQUIRED","error":"Trạng thái trả hàng phải được xử lý qua yêu cầu trả hàng.","message":"Trạng thái trả hàng phải được xử lý qua yêu cầu trả hàng."}}</x:v>
      </x:c>
      <x:c r="K63" s="33" t="str">
        <x:v>PASS</x:v>
      </x:c>
      <x:c r="L63" s="33" t="str">
        <x:v>Automated / evidence</x:v>
      </x:c>
      <x:c r="M63" s="33" t="str">
        <x:v>2026-09-09</x:v>
      </x:c>
      <x:c r="N63" s="33" t="str">
        <x:v>Historical audit / QA evidence</x:v>
      </x:c>
      <x:c r="O63" s="33" t="str">
        <x:v>docs/audit/boundary-results.json; AUDIT-2026-09-09.md</x:v>
      </x:c>
      <x:c r="P63" s="33" t="str"/>
      <x:c r="Q63" s="33" t="str">
        <x:v>PASS theo bằng chứng lịch sử; không chạy lại trong lần tạo workbook này.</x:v>
      </x:c>
    </x:row>
    <x:row r="64" ht="72" customHeight="1">
      <x:c r="A64" s="33" t="str">
        <x:v>J01</x:v>
      </x:c>
      <x:c r="B64" s="33" t="str">
        <x:v>Scheduler / Jobs</x:v>
      </x:c>
      <x:c r="C64" s="33" t="str">
        <x:v>Integration / API / SQL</x:v>
      </x:c>
      <x:c r="D64" s="33" t="str">
        <x:v>P1</x:v>
      </x:c>
      <x:c r="E64" s="33" t="str">
        <x:v>Real scheduler releases expired bank hold and overdue COD</x:v>
      </x:c>
      <x:c r="F64" s="33" t="str">
        <x:v>SQL fixture ShoegroupAudit_20260909_fixed; API port 5100; synthetic test accounts; no real payment/email sent.</x:v>
      </x:c>
      <x:c r="G64" s="33" t="str">
        <x:v>Real scheduler releases expired bank hold and overdue COD</x:v>
      </x:c>
      <x:c r="H64" s="33" t="str">
        <x:v>1) Chuẩn bị điều kiện: SQL fixture ShoegroupAudit_20260909_fixed; API port 5100; synthetic test accounts; no real payment/email sent. 2) Thực hiện scenario: Real scheduler releases expired bank hold and overdue COD 3) Kiểm tra HTTP/UI/SQL/job side effects. 4) Đối chiếu với kết quả mong đợi và lưu evidence.</x:v>
      </x:c>
      <x:c r="I64" s="33" t="str">
        <x:v>both cancelled; inventory restored once</x:v>
      </x:c>
      <x:c r="J64" s="33" t="str">
        <x:v>[{"OrderID":79,"Status":"Đã hủy"},{"OrderID":82,"Status":"Đã hủy"}]</x:v>
      </x:c>
      <x:c r="K64" s="33" t="str">
        <x:v>PASS</x:v>
      </x:c>
      <x:c r="L64" s="33" t="str">
        <x:v>Automated / evidence</x:v>
      </x:c>
      <x:c r="M64" s="33" t="str">
        <x:v>2026-09-09</x:v>
      </x:c>
      <x:c r="N64" s="33" t="str">
        <x:v>Historical audit / QA evidence</x:v>
      </x:c>
      <x:c r="O64" s="33" t="str">
        <x:v>docs/audit/jobs-results.json; AUDIT-2026-09-09.md</x:v>
      </x:c>
      <x:c r="P64" s="33" t="str"/>
      <x:c r="Q64" s="33" t="str">
        <x:v>PASS theo bằng chứng lịch sử; không chạy lại trong lần tạo workbook này.</x:v>
      </x:c>
    </x:row>
    <x:row r="65" ht="72" customHeight="1">
      <x:c r="A65" s="33" t="str">
        <x:v>J02</x:v>
      </x:c>
      <x:c r="B65" s="33" t="str">
        <x:v>Scheduler / Jobs</x:v>
      </x:c>
      <x:c r="C65" s="33" t="str">
        <x:v>Integration / API / SQL</x:v>
      </x:c>
      <x:c r="D65" s="33" t="str">
        <x:v>P0</x:v>
      </x:c>
      <x:c r="E65" s="33" t="str">
        <x:v>Expired payment deadline with confirmed/declaration payment</x:v>
      </x:c>
      <x:c r="F65" s="33" t="str">
        <x:v>SQL fixture ShoegroupAudit_20260909_fixed; API port 5100; synthetic test accounts; no real payment/email sent.</x:v>
      </x:c>
      <x:c r="G65" s="33" t="str">
        <x:v>Expired payment deadline with confirmed/declaration payment</x:v>
      </x:c>
      <x:c r="H65" s="33" t="str">
        <x:v>1) Chuẩn bị điều kiện: SQL fixture ShoegroupAudit_20260909_fixed; API port 5100; synthetic test accounts; no real payment/email sent. 2) Thực hiện scenario: Expired payment deadline with confirmed/declaration payment 3) Kiểm tra HTTP/UI/SQL/job side effects. 4) Đối chiếu với kết quả mong đợi và lưu evidence.</x:v>
      </x:c>
      <x:c r="I65" s="33" t="str">
        <x:v>paid and declared orders retained until general deadline</x:v>
      </x:c>
      <x:c r="J65" s="33" t="str">
        <x:v>[{"OrderID":80,"Status":"Chờ xác nhận","PaymentStatus":"Đã thanh toán"},{"OrderID":81,"Status":"Chờ xác nhận","PaymentStatus":"Chờ thanh toán"}]</x:v>
      </x:c>
      <x:c r="K65" s="33" t="str">
        <x:v>PASS</x:v>
      </x:c>
      <x:c r="L65" s="33" t="str">
        <x:v>Automated / evidence</x:v>
      </x:c>
      <x:c r="M65" s="33" t="str">
        <x:v>2026-09-09</x:v>
      </x:c>
      <x:c r="N65" s="33" t="str">
        <x:v>Historical audit / QA evidence</x:v>
      </x:c>
      <x:c r="O65" s="33" t="str">
        <x:v>docs/audit/jobs-results.json; AUDIT-2026-09-09.md</x:v>
      </x:c>
      <x:c r="P65" s="33" t="str"/>
      <x:c r="Q65" s="33" t="str">
        <x:v>PASS theo bằng chứng lịch sử; không chạy lại trong lần tạo workbook này.</x:v>
      </x:c>
    </x:row>
    <x:row r="66" ht="72" customHeight="1">
      <x:c r="A66" s="33" t="str">
        <x:v>J03</x:v>
      </x:c>
      <x:c r="B66" s="33" t="str">
        <x:v>Scheduler / Jobs</x:v>
      </x:c>
      <x:c r="C66" s="33" t="str">
        <x:v>Integration / API / SQL</x:v>
      </x:c>
      <x:c r="D66" s="33" t="str">
        <x:v>P1</x:v>
      </x:c>
      <x:c r="E66" s="33" t="str">
        <x:v>Real scheduler recognizes eligible paid received order</x:v>
      </x:c>
      <x:c r="F66" s="33" t="str">
        <x:v>SQL fixture ShoegroupAudit_20260909_fixed; API port 5100; synthetic test accounts; no real payment/email sent.</x:v>
      </x:c>
      <x:c r="G66" s="33" t="str">
        <x:v>Real scheduler recognizes eligible paid received order</x:v>
      </x:c>
      <x:c r="H66" s="33" t="str">
        <x:v>1) Chuẩn bị điều kiện: SQL fixture ShoegroupAudit_20260909_fixed; API port 5100; synthetic test accounts; no real payment/email sent. 2) Thực hiện scenario: Real scheduler recognizes eligible paid received order 3) Kiểm tra HTTP/UI/SQL/job side effects. 4) Đối chiếu với kết quả mong đợi và lưu evidence.</x:v>
      </x:c>
      <x:c r="I66" s="33" t="str">
        <x:v>IsCountedAsRevenue becomes true</x:v>
      </x:c>
      <x:c r="J66" s="33" t="str">
        <x:v>{"IsCountedAsRevenue":true}</x:v>
      </x:c>
      <x:c r="K66" s="33" t="str">
        <x:v>PASS</x:v>
      </x:c>
      <x:c r="L66" s="33" t="str">
        <x:v>Automated / evidence</x:v>
      </x:c>
      <x:c r="M66" s="33" t="str">
        <x:v>2026-09-09</x:v>
      </x:c>
      <x:c r="N66" s="33" t="str">
        <x:v>Historical audit / QA evidence</x:v>
      </x:c>
      <x:c r="O66" s="33" t="str">
        <x:v>docs/audit/jobs-results.json; AUDIT-2026-09-09.md</x:v>
      </x:c>
      <x:c r="P66" s="33" t="str"/>
      <x:c r="Q66" s="33" t="str">
        <x:v>PASS theo bằng chứng lịch sử; không chạy lại trong lần tạo workbook này.</x:v>
      </x:c>
    </x:row>
    <x:row r="67" ht="72" customHeight="1">
      <x:c r="A67" s="33" t="str">
        <x:v>J04</x:v>
      </x:c>
      <x:c r="B67" s="33" t="str">
        <x:v>Scheduler / Jobs</x:v>
      </x:c>
      <x:c r="C67" s="33" t="str">
        <x:v>Integration / API / SQL</x:v>
      </x:c>
      <x:c r="D67" s="33" t="str">
        <x:v>P1</x:v>
      </x:c>
      <x:c r="E67" s="33" t="str">
        <x:v>Same checkout key across two server instances</x:v>
      </x:c>
      <x:c r="F67" s="33" t="str">
        <x:v>SQL fixture ShoegroupAudit_20260909_fixed; API port 5100; synthetic test accounts; no real payment/email sent.</x:v>
      </x:c>
      <x:c r="G67" s="33" t="str">
        <x:v>Same checkout key across two server instances</x:v>
      </x:c>
      <x:c r="H67" s="33" t="str">
        <x:v>1) Chuẩn bị điều kiện: SQL fixture ShoegroupAudit_20260909_fixed; API port 5100; synthetic test accounts; no real payment/email sent. 2) Thực hiện scenario: Same checkout key across two server instances 3) Kiểm tra HTTP/UI/SQL/job side effects. 4) Đối chiếu với kết quả mong đợi và lưu evidence.</x:v>
      </x:c>
      <x:c r="I67" s="33" t="str">
        <x:v>one order and one stock deduction</x:v>
      </x:c>
      <x:c r="J67" s="33" t="str">
        <x:v>[84,84]</x:v>
      </x:c>
      <x:c r="K67" s="33" t="str">
        <x:v>PASS</x:v>
      </x:c>
      <x:c r="L67" s="33" t="str">
        <x:v>Automated / evidence</x:v>
      </x:c>
      <x:c r="M67" s="33" t="str">
        <x:v>2026-09-09</x:v>
      </x:c>
      <x:c r="N67" s="33" t="str">
        <x:v>Historical audit / QA evidence</x:v>
      </x:c>
      <x:c r="O67" s="33" t="str">
        <x:v>docs/audit/jobs-results.json; AUDIT-2026-09-09.md</x:v>
      </x:c>
      <x:c r="P67" s="33" t="str"/>
      <x:c r="Q67" s="33" t="str">
        <x:v>PASS theo bằng chứng lịch sử; không chạy lại trong lần tạo workbook này.</x:v>
      </x:c>
    </x:row>
    <x:row r="68" ht="72" customHeight="1">
      <x:c r="A68" s="33" t="str">
        <x:v>J05</x:v>
      </x:c>
      <x:c r="B68" s="33" t="str">
        <x:v>Scheduler / Jobs</x:v>
      </x:c>
      <x:c r="C68" s="33" t="str">
        <x:v>Integration / API / SQL</x:v>
      </x:c>
      <x:c r="D68" s="33" t="str">
        <x:v>P1</x:v>
      </x:c>
      <x:c r="E68" s="33" t="str">
        <x:v>Repeated scheduler invocation</x:v>
      </x:c>
      <x:c r="F68" s="33" t="str">
        <x:v>SQL fixture ShoegroupAudit_20260909_fixed; API port 5100; synthetic test accounts; no real payment/email sent.</x:v>
      </x:c>
      <x:c r="G68" s="33" t="str">
        <x:v>Repeated scheduler invocation</x:v>
      </x:c>
      <x:c r="H68" s="33" t="str">
        <x:v>1) Chuẩn bị điều kiện: SQL fixture ShoegroupAudit_20260909_fixed; API port 5100; synthetic test accounts; no real payment/email sent. 2) Thực hiện scenario: Repeated scheduler invocation 3) Kiểm tra HTTP/UI/SQL/job side effects. 4) Đối chiếu với kết quả mong đợi và lưu evidence.</x:v>
      </x:c>
      <x:c r="I68" s="33" t="str">
        <x:v>no duplicate restock or cancellation history</x:v>
      </x:c>
      <x:c r="J68" s="33" t="str">
        <x:v>[{"n":1}]</x:v>
      </x:c>
      <x:c r="K68" s="33" t="str">
        <x:v>PASS</x:v>
      </x:c>
      <x:c r="L68" s="33" t="str">
        <x:v>Automated / evidence</x:v>
      </x:c>
      <x:c r="M68" s="33" t="str">
        <x:v>2026-09-09</x:v>
      </x:c>
      <x:c r="N68" s="33" t="str">
        <x:v>Historical audit / QA evidence</x:v>
      </x:c>
      <x:c r="O68" s="33" t="str">
        <x:v>docs/audit/jobs-results.json; AUDIT-2026-09-09.md</x:v>
      </x:c>
      <x:c r="P68" s="33" t="str"/>
      <x:c r="Q68" s="33" t="str">
        <x:v>PASS theo bằng chứng lịch sử; không chạy lại trong lần tạo workbook này.</x:v>
      </x:c>
    </x:row>
    <x:row r="69" ht="72" customHeight="1">
      <x:c r="A69" s="33" t="str">
        <x:v>G01</x:v>
      </x:c>
      <x:c r="B69" s="33" t="str">
        <x:v>Promotion</x:v>
      </x:c>
      <x:c r="C69" s="33" t="str">
        <x:v>Negative / Gap</x:v>
      </x:c>
      <x:c r="D69" s="33" t="str">
        <x:v>P1</x:v>
      </x:c>
      <x:c r="E69" s="33" t="str">
        <x:v>Active variant promotion actually affects checkout</x:v>
      </x:c>
      <x:c r="F69" s="33" t="str">
        <x:v>SQL fixture ShoegroupAudit_20260909_fixed; API port 5100; synthetic test accounts; no real payment/email sent.</x:v>
      </x:c>
      <x:c r="G69" s="33" t="str">
        <x:v>Active variant promotion actually affects checkout</x:v>
      </x:c>
      <x:c r="H69" s="33" t="str">
        <x:v>1) Chuẩn bị điều kiện: SQL fixture ShoegroupAudit_20260909_fixed; API port 5100; synthetic test accounts; no real payment/email sent. 2) Thực hiện scenario: Active variant promotion actually affects checkout 3) Kiểm tra HTTP/UI/SQL/job side effects. 4) Đối chiếu với kết quả mong đợi và lưu evidence.</x:v>
      </x:c>
      <x:c r="I69" s="33" t="str">
        <x:v>apply 10% promotion or explicitly reject unsupported promotion</x:v>
      </x:c>
      <x:c r="J69" s="33" t="str">
        <x:v>Promotion created (201); checkout UnitPrice=500000, expected 450000 500000 !== 450000</x:v>
      </x:c>
      <x:c r="K69" s="33" t="str">
        <x:v>FAIL</x:v>
      </x:c>
      <x:c r="L69" s="33" t="str">
        <x:v>Automated / evidence</x:v>
      </x:c>
      <x:c r="M69" s="33" t="str">
        <x:v>2026-09-09</x:v>
      </x:c>
      <x:c r="N69" s="33" t="str">
        <x:v>Historical audit / QA evidence</x:v>
      </x:c>
      <x:c r="O69" s="33" t="str">
        <x:v>docs/audit/known-gaps-results.json; AUDIT-2026-09-09.md</x:v>
      </x:c>
      <x:c r="P69" s="33" t="str">
        <x:v>BUG-031</x:v>
      </x:c>
      <x:c r="Q69" s="33" t="str">
        <x:v>FAIL theo known-gaps-results; không chuyển thành PASS. Cần xử lý defect trước production.</x:v>
      </x:c>
    </x:row>
    <x:row r="70" ht="72" customHeight="1">
      <x:c r="A70" s="33" t="str">
        <x:v>G02</x:v>
      </x:c>
      <x:c r="B70" s="33" t="str">
        <x:v>Shipping</x:v>
      </x:c>
      <x:c r="C70" s="33" t="str">
        <x:v>Negative / Gap</x:v>
      </x:c>
      <x:c r="D70" s="33" t="str">
        <x:v>P1</x:v>
      </x:c>
      <x:c r="E70" s="33" t="str">
        <x:v>Order address moves from HCMC to Hanoi</x:v>
      </x:c>
      <x:c r="F70" s="33" t="str">
        <x:v>SQL fixture ShoegroupAudit_20260909_fixed; API port 5100; synthetic test accounts; no real payment/email sent.</x:v>
      </x:c>
      <x:c r="G70" s="33" t="str">
        <x:v>Order address moves from HCMC to Hanoi</x:v>
      </x:c>
      <x:c r="H70" s="33" t="str">
        <x:v>1) Chuẩn bị điều kiện: SQL fixture ShoegroupAudit_20260909_fixed; API port 5100; synthetic test accounts; no real payment/email sent. 2) Thực hiện scenario: Order address moves from HCMC to Hanoi 3) Kiểm tra HTTP/UI/SQL/job side effects. 4) Đối chiếu với kết quả mong đợi và lưu evidence.</x:v>
      </x:c>
      <x:c r="I70" s="33" t="str">
        <x:v>reject price-changing move or update fee consistently</x:v>
      </x:c>
      <x:c r="J70" s="33" t="str">
        <x:v>Changed address retained fee=75000; same new address quotes 30000 75000 !== 30000</x:v>
      </x:c>
      <x:c r="K70" s="33" t="str">
        <x:v>FAIL</x:v>
      </x:c>
      <x:c r="L70" s="33" t="str">
        <x:v>Automated / evidence</x:v>
      </x:c>
      <x:c r="M70" s="33" t="str">
        <x:v>2026-09-09</x:v>
      </x:c>
      <x:c r="N70" s="33" t="str">
        <x:v>Historical audit / QA evidence</x:v>
      </x:c>
      <x:c r="O70" s="33" t="str">
        <x:v>docs/audit/known-gaps-results.json; AUDIT-2026-09-09.md</x:v>
      </x:c>
      <x:c r="P70" s="33" t="str">
        <x:v>BUG-033</x:v>
      </x:c>
      <x:c r="Q70" s="33" t="str">
        <x:v>FAIL theo known-gaps-results; không chuyển thành PASS. Cần xử lý defect trước production.</x:v>
      </x:c>
    </x:row>
    <x:row r="71" ht="72" customHeight="1">
      <x:c r="A71" s="33" t="str">
        <x:v>G03</x:v>
      </x:c>
      <x:c r="B71" s="33" t="str">
        <x:v>Wallet</x:v>
      </x:c>
      <x:c r="C71" s="33" t="str">
        <x:v>Negative / Gap</x:v>
      </x:c>
      <x:c r="D71" s="33" t="str">
        <x:v>P0</x:v>
      </x:c>
      <x:c r="E71" s="33" t="str">
        <x:v>Wallet withdrawal with no payout integration</x:v>
      </x:c>
      <x:c r="F71" s="33" t="str">
        <x:v>SQL fixture ShoegroupAudit_20260909_fixed; API port 5100; synthetic test accounts; no real payment/email sent.</x:v>
      </x:c>
      <x:c r="G71" s="33" t="str">
        <x:v>Wallet withdrawal with no payout integration</x:v>
      </x:c>
      <x:c r="H71" s="33" t="str">
        <x:v>1) Chuẩn bị điều kiện: SQL fixture ShoegroupAudit_20260909_fixed; API port 5100; synthetic test accounts; no real payment/email sent. 2) Thực hiện scenario: Wallet withdrawal with no payout integration 3) Kiểm tra HTTP/UI/SQL/job side effects. 4) Đối chiếu với kết quả mong đợi và lưu evidence.</x:v>
      </x:c>
      <x:c r="I71" s="33" t="str">
        <x:v>fail before holding balance if no executor exists</x:v>
      </x:c>
      <x:c r="J71" s="33" t="str">
        <x:v>No payout implementation; endpoint returned 201 {"success":true,"withdrawal_id":1,"balance":8999999,"status":"Chờ xử lý"} 201 !== 503</x:v>
      </x:c>
      <x:c r="K71" s="33" t="str">
        <x:v>FAIL</x:v>
      </x:c>
      <x:c r="L71" s="33" t="str">
        <x:v>Automated / evidence</x:v>
      </x:c>
      <x:c r="M71" s="33" t="str">
        <x:v>2026-09-09</x:v>
      </x:c>
      <x:c r="N71" s="33" t="str">
        <x:v>Historical audit / QA evidence</x:v>
      </x:c>
      <x:c r="O71" s="33" t="str">
        <x:v>docs/audit/known-gaps-results.json; AUDIT-2026-09-09.md</x:v>
      </x:c>
      <x:c r="P71" s="33" t="str">
        <x:v>BUG-029</x:v>
      </x:c>
      <x:c r="Q71" s="33" t="str">
        <x:v>FAIL theo known-gaps-results; không chuyển thành PASS. Cần xử lý defect trước production.</x:v>
      </x:c>
    </x:row>
    <x:row r="72" ht="72" customHeight="1">
      <x:c r="A72" s="33" t="str">
        <x:v>G04</x:v>
      </x:c>
      <x:c r="B72" s="33" t="str">
        <x:v>Payment / Security</x:v>
      </x:c>
      <x:c r="C72" s="33" t="str">
        <x:v>Negative / Gap</x:v>
      </x:c>
      <x:c r="D72" s="33" t="str">
        <x:v>P0</x:v>
      </x:c>
      <x:c r="E72" s="33" t="str">
        <x:v>Visa test destination storage</x:v>
      </x:c>
      <x:c r="F72" s="33" t="str">
        <x:v>SQL fixture ShoegroupAudit_20260909_fixed; API port 5100; synthetic test accounts; no real payment/email sent.</x:v>
      </x:c>
      <x:c r="G72" s="33" t="str">
        <x:v>Visa test destination storage</x:v>
      </x:c>
      <x:c r="H72" s="33" t="str">
        <x:v>1) Chuẩn bị điều kiện: SQL fixture ShoegroupAudit_20260909_fixed; API port 5100; synthetic test accounts; no real payment/email sent. 2) Thực hiện scenario: Visa test destination storage 3) Kiểm tra HTTP/UI/SQL/job side effects. 4) Đối chiếu với kết quả mong đợi và lưu evidence.</x:v>
      </x:c>
      <x:c r="I72" s="33" t="str">
        <x:v>store a provider token instead of raw PAN</x:v>
      </x:c>
      <x:c r="J72" s="33" t="str">
        <x:v>Synthetic Visa PAN persisted verbatim in Destination</x:v>
      </x:c>
      <x:c r="K72" s="33" t="str">
        <x:v>FAIL</x:v>
      </x:c>
      <x:c r="L72" s="33" t="str">
        <x:v>Automated / evidence</x:v>
      </x:c>
      <x:c r="M72" s="33" t="str">
        <x:v>2026-09-09</x:v>
      </x:c>
      <x:c r="N72" s="33" t="str">
        <x:v>Historical audit / QA evidence</x:v>
      </x:c>
      <x:c r="O72" s="33" t="str">
        <x:v>docs/audit/known-gaps-results.json; AUDIT-2026-09-09.md</x:v>
      </x:c>
      <x:c r="P72" s="33" t="str">
        <x:v>BUG-030</x:v>
      </x:c>
      <x:c r="Q72" s="33" t="str">
        <x:v>FAIL theo known-gaps-results; không chuyển thành PASS. Cần xử lý defect trước production.</x:v>
      </x:c>
    </x:row>
    <x:row r="73" ht="72" customHeight="1">
      <x:c r="A73" s="33" t="str">
        <x:v>U01</x:v>
      </x:c>
      <x:c r="B73" s="33" t="str">
        <x:v>Frontend / Stores</x:v>
      </x:c>
      <x:c r="C73" s="33" t="str">
        <x:v>Unit / Handler</x:v>
      </x:c>
      <x:c r="D73" s="33" t="str">
        <x:v>P1</x:v>
      </x:c>
      <x:c r="E73" s="33" t="str">
        <x:v>checkout retry retains its key through reload and rotates after success</x:v>
      </x:c>
      <x:c r="F73" s="33" t="str">
        <x:v>Node.js node:test; mocks/VM/SFC fixtures; no external payment or email service.</x:v>
      </x:c>
      <x:c r="G73" s="33" t="str">
        <x:v>checkout retry retains its key through reload and rotates after success</x:v>
      </x:c>
      <x:c r="H73" s="33" t="str">
        <x:v>1) Chuẩn bị điều kiện: Node.js node:test; mocks/VM/SFC fixtures; no external payment or email service. 2) Thực hiện scenario: checkout retry retains its key through reload and rotates after success 3) Kiểm tra HTTP/UI/SQL/job side effects. 4) Đối chiếu với kết quả mong đợi và lưu evidence.</x:v>
      </x:c>
      <x:c r="I73" s="33" t="str">
        <x:v>Assertion của case thỏa mãn</x:v>
      </x:c>
      <x:c r="J73" s="33" t="str">
        <x:v>node:test PASS</x:v>
      </x:c>
      <x:c r="K73" s="33" t="str">
        <x:v>PASS</x:v>
      </x:c>
      <x:c r="L73" s="33" t="str">
        <x:v>Automated / evidence</x:v>
      </x:c>
      <x:c r="M73" s="33" t="str">
        <x:v>2026-09-09</x:v>
      </x:c>
      <x:c r="N73" s="33" t="str">
        <x:v>Historical audit / QA evidence</x:v>
      </x:c>
      <x:c r="O73" s="33" t="str">
        <x:v>test/frontend-audit.test.cjs; backend/test/*.test.cjs; AUDIT-2026-09-09.md</x:v>
      </x:c>
      <x:c r="P73" s="33" t="str"/>
      <x:c r="Q73" s="33" t="str">
        <x:v>PASS theo bằng chứng lịch sử; không chạy lại trong lần tạo workbook này.</x:v>
      </x:c>
    </x:row>
    <x:row r="74" ht="72" customHeight="1">
      <x:c r="A74" s="33" t="str">
        <x:v>U02</x:v>
      </x:c>
      <x:c r="B74" s="33" t="str">
        <x:v>Frontend / Stores</x:v>
      </x:c>
      <x:c r="C74" s="33" t="str">
        <x:v>Unit / Handler</x:v>
      </x:c>
      <x:c r="D74" s="33" t="str">
        <x:v>P0</x:v>
      </x:c>
      <x:c r="E74" s="33" t="str">
        <x:v>dashboard revenue excludes unpaid/cancelled orders and deducts only completed refunds</x:v>
      </x:c>
      <x:c r="F74" s="33" t="str">
        <x:v>Node.js node:test; mocks/VM/SFC fixtures; no external payment or email service.</x:v>
      </x:c>
      <x:c r="G74" s="33" t="str">
        <x:v>dashboard revenue excludes unpaid/cancelled orders and deducts only completed refunds</x:v>
      </x:c>
      <x:c r="H74" s="33" t="str">
        <x:v>1) Chuẩn bị điều kiện: Node.js node:test; mocks/VM/SFC fixtures; no external payment or email service. 2) Thực hiện scenario: dashboard revenue excludes unpaid/cancelled orders and deducts only completed refunds 3) Kiểm tra HTTP/UI/SQL/job side effects. 4) Đối chiếu với kết quả mong đợi và lưu evidence.</x:v>
      </x:c>
      <x:c r="I74" s="33" t="str">
        <x:v>Assertion của case thỏa mãn</x:v>
      </x:c>
      <x:c r="J74" s="33" t="str">
        <x:v>node:test PASS</x:v>
      </x:c>
      <x:c r="K74" s="33" t="str">
        <x:v>PASS</x:v>
      </x:c>
      <x:c r="L74" s="33" t="str">
        <x:v>Automated / evidence</x:v>
      </x:c>
      <x:c r="M74" s="33" t="str">
        <x:v>2026-09-09</x:v>
      </x:c>
      <x:c r="N74" s="33" t="str">
        <x:v>Historical audit / QA evidence</x:v>
      </x:c>
      <x:c r="O74" s="33" t="str">
        <x:v>test/frontend-audit.test.cjs; backend/test/*.test.cjs; AUDIT-2026-09-09.md</x:v>
      </x:c>
      <x:c r="P74" s="33" t="str"/>
      <x:c r="Q74" s="33" t="str">
        <x:v>PASS theo bằng chứng lịch sử; không chạy lại trong lần tạo workbook này.</x:v>
      </x:c>
    </x:row>
    <x:row r="75" ht="72" customHeight="1">
      <x:c r="A75" s="33" t="str">
        <x:v>U03</x:v>
      </x:c>
      <x:c r="B75" s="33" t="str">
        <x:v>Frontend / Stores</x:v>
      </x:c>
      <x:c r="C75" s="33" t="str">
        <x:v>Unit / Handler</x:v>
      </x:c>
      <x:c r="D75" s="33" t="str">
        <x:v>P0</x:v>
      </x:c>
      <x:c r="E75" s="33" t="str">
        <x:v>cart checks exact variant, preserves requested quantity, and flags stale stock</x:v>
      </x:c>
      <x:c r="F75" s="33" t="str">
        <x:v>Node.js node:test; mocks/VM/SFC fixtures; no external payment or email service.</x:v>
      </x:c>
      <x:c r="G75" s="33" t="str">
        <x:v>cart checks exact variant, preserves requested quantity, and flags stale stock</x:v>
      </x:c>
      <x:c r="H75" s="33" t="str">
        <x:v>1) Chuẩn bị điều kiện: Node.js node:test; mocks/VM/SFC fixtures; no external payment or email service. 2) Thực hiện scenario: cart checks exact variant, preserves requested quantity, and flags stale stock 3) Kiểm tra HTTP/UI/SQL/job side effects. 4) Đối chiếu với kết quả mong đợi và lưu evidence.</x:v>
      </x:c>
      <x:c r="I75" s="33" t="str">
        <x:v>Assertion của case thỏa mãn</x:v>
      </x:c>
      <x:c r="J75" s="33" t="str">
        <x:v>node:test PASS</x:v>
      </x:c>
      <x:c r="K75" s="33" t="str">
        <x:v>PASS</x:v>
      </x:c>
      <x:c r="L75" s="33" t="str">
        <x:v>Automated / evidence</x:v>
      </x:c>
      <x:c r="M75" s="33" t="str">
        <x:v>2026-09-09</x:v>
      </x:c>
      <x:c r="N75" s="33" t="str">
        <x:v>Historical audit / QA evidence</x:v>
      </x:c>
      <x:c r="O75" s="33" t="str">
        <x:v>test/frontend-audit.test.cjs; backend/test/*.test.cjs; AUDIT-2026-09-09.md</x:v>
      </x:c>
      <x:c r="P75" s="33" t="str"/>
      <x:c r="Q75" s="33" t="str">
        <x:v>PASS theo bằng chứng lịch sử; không chạy lại trong lần tạo workbook này.</x:v>
      </x:c>
    </x:row>
    <x:row r="76" ht="72" customHeight="1">
      <x:c r="A76" s="33" t="str">
        <x:v>U04</x:v>
      </x:c>
      <x:c r="B76" s="33" t="str">
        <x:v>Frontend / Stores</x:v>
      </x:c>
      <x:c r="C76" s="33" t="str">
        <x:v>Unit / Handler</x:v>
      </x:c>
      <x:c r="D76" s="33" t="str">
        <x:v>P1</x:v>
      </x:c>
      <x:c r="E76" s="33" t="str">
        <x:v>cart refresh persists items and current sale price</x:v>
      </x:c>
      <x:c r="F76" s="33" t="str">
        <x:v>Node.js node:test; mocks/VM/SFC fixtures; no external payment or email service.</x:v>
      </x:c>
      <x:c r="G76" s="33" t="str">
        <x:v>cart refresh persists items and current sale price</x:v>
      </x:c>
      <x:c r="H76" s="33" t="str">
        <x:v>1) Chuẩn bị điều kiện: Node.js node:test; mocks/VM/SFC fixtures; no external payment or email service. 2) Thực hiện scenario: cart refresh persists items and current sale price 3) Kiểm tra HTTP/UI/SQL/job side effects. 4) Đối chiếu với kết quả mong đợi và lưu evidence.</x:v>
      </x:c>
      <x:c r="I76" s="33" t="str">
        <x:v>Assertion của case thỏa mãn</x:v>
      </x:c>
      <x:c r="J76" s="33" t="str">
        <x:v>node:test PASS</x:v>
      </x:c>
      <x:c r="K76" s="33" t="str">
        <x:v>PASS</x:v>
      </x:c>
      <x:c r="L76" s="33" t="str">
        <x:v>Automated / evidence</x:v>
      </x:c>
      <x:c r="M76" s="33" t="str">
        <x:v>2026-09-09</x:v>
      </x:c>
      <x:c r="N76" s="33" t="str">
        <x:v>Historical audit / QA evidence</x:v>
      </x:c>
      <x:c r="O76" s="33" t="str">
        <x:v>test/frontend-audit.test.cjs; backend/test/*.test.cjs; AUDIT-2026-09-09.md</x:v>
      </x:c>
      <x:c r="P76" s="33" t="str"/>
      <x:c r="Q76" s="33" t="str">
        <x:v>PASS theo bằng chứng lịch sử; không chạy lại trong lần tạo workbook này.</x:v>
      </x:c>
    </x:row>
    <x:row r="77" ht="72" customHeight="1">
      <x:c r="A77" s="33" t="str">
        <x:v>U05</x:v>
      </x:c>
      <x:c r="B77" s="33" t="str">
        <x:v>Frontend / Stores</x:v>
      </x:c>
      <x:c r="C77" s="33" t="str">
        <x:v>Unit / Handler</x:v>
      </x:c>
      <x:c r="D77" s="33" t="str">
        <x:v>P1</x:v>
      </x:c>
      <x:c r="E77" s="33" t="str">
        <x:v>cart rejects disabled, deleted, and missing exact variant</x:v>
      </x:c>
      <x:c r="F77" s="33" t="str">
        <x:v>Node.js node:test; mocks/VM/SFC fixtures; no external payment or email service.</x:v>
      </x:c>
      <x:c r="G77" s="33" t="str">
        <x:v>cart rejects disabled, deleted, and missing exact variant</x:v>
      </x:c>
      <x:c r="H77" s="33" t="str">
        <x:v>1) Chuẩn bị điều kiện: Node.js node:test; mocks/VM/SFC fixtures; no external payment or email service. 2) Thực hiện scenario: cart rejects disabled, deleted, and missing exact variant 3) Kiểm tra HTTP/UI/SQL/job side effects. 4) Đối chiếu với kết quả mong đợi và lưu evidence.</x:v>
      </x:c>
      <x:c r="I77" s="33" t="str">
        <x:v>Assertion của case thỏa mãn</x:v>
      </x:c>
      <x:c r="J77" s="33" t="str">
        <x:v>node:test PASS</x:v>
      </x:c>
      <x:c r="K77" s="33" t="str">
        <x:v>PASS</x:v>
      </x:c>
      <x:c r="L77" s="33" t="str">
        <x:v>Automated / evidence</x:v>
      </x:c>
      <x:c r="M77" s="33" t="str">
        <x:v>2026-09-09</x:v>
      </x:c>
      <x:c r="N77" s="33" t="str">
        <x:v>Historical audit / QA evidence</x:v>
      </x:c>
      <x:c r="O77" s="33" t="str">
        <x:v>test/frontend-audit.test.cjs; backend/test/*.test.cjs; AUDIT-2026-09-09.md</x:v>
      </x:c>
      <x:c r="P77" s="33" t="str"/>
      <x:c r="Q77" s="33" t="str">
        <x:v>PASS theo bằng chứng lịch sử; không chạy lại trong lần tạo workbook này.</x:v>
      </x:c>
    </x:row>
    <x:row r="78" ht="72" customHeight="1">
      <x:c r="A78" s="33" t="str">
        <x:v>U06</x:v>
      </x:c>
      <x:c r="B78" s="33" t="str">
        <x:v>Frontend / Stores</x:v>
      </x:c>
      <x:c r="C78" s="33" t="str">
        <x:v>Unit / Handler</x:v>
      </x:c>
      <x:c r="D78" s="33" t="str">
        <x:v>P1</x:v>
      </x:c>
      <x:c r="E78" s="33" t="str">
        <x:v>HTTP transport never retries a mutation automatically on network failure</x:v>
      </x:c>
      <x:c r="F78" s="33" t="str">
        <x:v>Node.js node:test; mocks/VM/SFC fixtures; no external payment or email service.</x:v>
      </x:c>
      <x:c r="G78" s="33" t="str">
        <x:v>HTTP transport never retries a mutation automatically on network failure</x:v>
      </x:c>
      <x:c r="H78" s="33" t="str">
        <x:v>1) Chuẩn bị điều kiện: Node.js node:test; mocks/VM/SFC fixtures; no external payment or email service. 2) Thực hiện scenario: HTTP transport never retries a mutation automatically on network failure 3) Kiểm tra HTTP/UI/SQL/job side effects. 4) Đối chiếu với kết quả mong đợi và lưu evidence.</x:v>
      </x:c>
      <x:c r="I78" s="33" t="str">
        <x:v>Assertion của case thỏa mãn</x:v>
      </x:c>
      <x:c r="J78" s="33" t="str">
        <x:v>node:test PASS</x:v>
      </x:c>
      <x:c r="K78" s="33" t="str">
        <x:v>PASS</x:v>
      </x:c>
      <x:c r="L78" s="33" t="str">
        <x:v>Automated / evidence</x:v>
      </x:c>
      <x:c r="M78" s="33" t="str">
        <x:v>2026-09-09</x:v>
      </x:c>
      <x:c r="N78" s="33" t="str">
        <x:v>Historical audit / QA evidence</x:v>
      </x:c>
      <x:c r="O78" s="33" t="str">
        <x:v>test/frontend-audit.test.cjs; backend/test/*.test.cjs; AUDIT-2026-09-09.md</x:v>
      </x:c>
      <x:c r="P78" s="33" t="str"/>
      <x:c r="Q78" s="33" t="str">
        <x:v>PASS theo bằng chứng lịch sử; không chạy lại trong lần tạo workbook này.</x:v>
      </x:c>
    </x:row>
    <x:row r="79" ht="72" customHeight="1">
      <x:c r="A79" s="33" t="str">
        <x:v>U07</x:v>
      </x:c>
      <x:c r="B79" s="33" t="str">
        <x:v>Frontend / Stores</x:v>
      </x:c>
      <x:c r="C79" s="33" t="str">
        <x:v>Unit / Handler</x:v>
      </x:c>
      <x:c r="D79" s="33" t="str">
        <x:v>P1</x:v>
      </x:c>
      <x:c r="E79" s="33" t="str">
        <x:v>HTTP interceptor preserves Request method and body</x:v>
      </x:c>
      <x:c r="F79" s="33" t="str">
        <x:v>Node.js node:test; mocks/VM/SFC fixtures; no external payment or email service.</x:v>
      </x:c>
      <x:c r="G79" s="33" t="str">
        <x:v>HTTP interceptor preserves Request method and body</x:v>
      </x:c>
      <x:c r="H79" s="33" t="str">
        <x:v>1) Chuẩn bị điều kiện: Node.js node:test; mocks/VM/SFC fixtures; no external payment or email service. 2) Thực hiện scenario: HTTP interceptor preserves Request method and body 3) Kiểm tra HTTP/UI/SQL/job side effects. 4) Đối chiếu với kết quả mong đợi và lưu evidence.</x:v>
      </x:c>
      <x:c r="I79" s="33" t="str">
        <x:v>Assertion của case thỏa mãn</x:v>
      </x:c>
      <x:c r="J79" s="33" t="str">
        <x:v>node:test PASS</x:v>
      </x:c>
      <x:c r="K79" s="33" t="str">
        <x:v>PASS</x:v>
      </x:c>
      <x:c r="L79" s="33" t="str">
        <x:v>Automated / evidence</x:v>
      </x:c>
      <x:c r="M79" s="33" t="str">
        <x:v>2026-09-09</x:v>
      </x:c>
      <x:c r="N79" s="33" t="str">
        <x:v>Historical audit / QA evidence</x:v>
      </x:c>
      <x:c r="O79" s="33" t="str">
        <x:v>test/frontend-audit.test.cjs; backend/test/*.test.cjs; AUDIT-2026-09-09.md</x:v>
      </x:c>
      <x:c r="P79" s="33" t="str"/>
      <x:c r="Q79" s="33" t="str">
        <x:v>PASS theo bằng chứng lịch sử; không chạy lại trong lần tạo workbook này.</x:v>
      </x:c>
    </x:row>
    <x:row r="80" ht="72" customHeight="1">
      <x:c r="A80" s="33" t="str">
        <x:v>U08</x:v>
      </x:c>
      <x:c r="B80" s="33" t="str">
        <x:v>Frontend / Stores</x:v>
      </x:c>
      <x:c r="C80" s="33" t="str">
        <x:v>Unit / Handler</x:v>
      </x:c>
      <x:c r="D80" s="33" t="str">
        <x:v>P1</x:v>
      </x:c>
      <x:c r="E80" s="33" t="str">
        <x:v>order mappings use warehouse state and server item subtotal</x:v>
      </x:c>
      <x:c r="F80" s="33" t="str">
        <x:v>Node.js node:test; mocks/VM/SFC fixtures; no external payment or email service.</x:v>
      </x:c>
      <x:c r="G80" s="33" t="str">
        <x:v>order mappings use warehouse state and server item subtotal</x:v>
      </x:c>
      <x:c r="H80" s="33" t="str">
        <x:v>1) Chuẩn bị điều kiện: Node.js node:test; mocks/VM/SFC fixtures; no external payment or email service. 2) Thực hiện scenario: order mappings use warehouse state and server item subtotal 3) Kiểm tra HTTP/UI/SQL/job side effects. 4) Đối chiếu với kết quả mong đợi và lưu evidence.</x:v>
      </x:c>
      <x:c r="I80" s="33" t="str">
        <x:v>Assertion của case thỏa mãn</x:v>
      </x:c>
      <x:c r="J80" s="33" t="str">
        <x:v>node:test PASS</x:v>
      </x:c>
      <x:c r="K80" s="33" t="str">
        <x:v>PASS</x:v>
      </x:c>
      <x:c r="L80" s="33" t="str">
        <x:v>Automated / evidence</x:v>
      </x:c>
      <x:c r="M80" s="33" t="str">
        <x:v>2026-09-09</x:v>
      </x:c>
      <x:c r="N80" s="33" t="str">
        <x:v>Historical audit / QA evidence</x:v>
      </x:c>
      <x:c r="O80" s="33" t="str">
        <x:v>test/frontend-audit.test.cjs; backend/test/*.test.cjs; AUDIT-2026-09-09.md</x:v>
      </x:c>
      <x:c r="P80" s="33" t="str"/>
      <x:c r="Q80" s="33" t="str">
        <x:v>PASS theo bằng chứng lịch sử; không chạy lại trong lần tạo workbook này.</x:v>
      </x:c>
    </x:row>
    <x:row r="81" ht="72" customHeight="1">
      <x:c r="A81" s="33" t="str">
        <x:v>U09</x:v>
      </x:c>
      <x:c r="B81" s="33" t="str">
        <x:v>Backend / Validation</x:v>
      </x:c>
      <x:c r="C81" s="33" t="str">
        <x:v>Unit / Handler</x:v>
      </x:c>
      <x:c r="D81" s="33" t="str">
        <x:v>P0</x:v>
      </x:c>
      <x:c r="E81" s="33" t="str">
        <x:v>customer cancellation does not claim an unverified payment was refunded</x:v>
      </x:c>
      <x:c r="F81" s="33" t="str">
        <x:v>Node.js node:test; mocks/VM/SFC fixtures; no external payment or email service.</x:v>
      </x:c>
      <x:c r="G81" s="33" t="str">
        <x:v>customer cancellation does not claim an unverified payment was refunded</x:v>
      </x:c>
      <x:c r="H81" s="33" t="str">
        <x:v>1) Chuẩn bị điều kiện: Node.js node:test; mocks/VM/SFC fixtures; no external payment or email service. 2) Thực hiện scenario: customer cancellation does not claim an unverified payment was refunded 3) Kiểm tra HTTP/UI/SQL/job side effects. 4) Đối chiếu với kết quả mong đợi và lưu evidence.</x:v>
      </x:c>
      <x:c r="I81" s="33" t="str">
        <x:v>Assertion của case thỏa mãn</x:v>
      </x:c>
      <x:c r="J81" s="33" t="str">
        <x:v>node:test PASS</x:v>
      </x:c>
      <x:c r="K81" s="33" t="str">
        <x:v>PASS</x:v>
      </x:c>
      <x:c r="L81" s="33" t="str">
        <x:v>Automated / evidence</x:v>
      </x:c>
      <x:c r="M81" s="33" t="str">
        <x:v>2026-09-09</x:v>
      </x:c>
      <x:c r="N81" s="33" t="str">
        <x:v>Historical audit / QA evidence</x:v>
      </x:c>
      <x:c r="O81" s="33" t="str">
        <x:v>test/frontend-audit.test.cjs; backend/test/*.test.cjs; AUDIT-2026-09-09.md</x:v>
      </x:c>
      <x:c r="P81" s="33" t="str"/>
      <x:c r="Q81" s="33" t="str">
        <x:v>PASS theo bằng chứng lịch sử; không chạy lại trong lần tạo workbook này.</x:v>
      </x:c>
    </x:row>
    <x:row r="82" ht="72" customHeight="1">
      <x:c r="A82" s="33" t="str">
        <x:v>U10</x:v>
      </x:c>
      <x:c r="B82" s="33" t="str">
        <x:v>Frontend / Stores</x:v>
      </x:c>
      <x:c r="C82" s="33" t="str">
        <x:v>Unit / Handler</x:v>
      </x:c>
      <x:c r="D82" s="33" t="str">
        <x:v>P1</x:v>
      </x:c>
      <x:c r="E82" s="33" t="str">
        <x:v>browser expiry never changes an authoritative server order</x:v>
      </x:c>
      <x:c r="F82" s="33" t="str">
        <x:v>Node.js node:test; mocks/VM/SFC fixtures; no external payment or email service.</x:v>
      </x:c>
      <x:c r="G82" s="33" t="str">
        <x:v>browser expiry never changes an authoritative server order</x:v>
      </x:c>
      <x:c r="H82" s="33" t="str">
        <x:v>1) Chuẩn bị điều kiện: Node.js node:test; mocks/VM/SFC fixtures; no external payment or email service. 2) Thực hiện scenario: browser expiry never changes an authoritative server order 3) Kiểm tra HTTP/UI/SQL/job side effects. 4) Đối chiếu với kết quả mong đợi và lưu evidence.</x:v>
      </x:c>
      <x:c r="I82" s="33" t="str">
        <x:v>Assertion của case thỏa mãn</x:v>
      </x:c>
      <x:c r="J82" s="33" t="str">
        <x:v>node:test PASS</x:v>
      </x:c>
      <x:c r="K82" s="33" t="str">
        <x:v>PASS</x:v>
      </x:c>
      <x:c r="L82" s="33" t="str">
        <x:v>Automated / evidence</x:v>
      </x:c>
      <x:c r="M82" s="33" t="str">
        <x:v>2026-09-09</x:v>
      </x:c>
      <x:c r="N82" s="33" t="str">
        <x:v>Historical audit / QA evidence</x:v>
      </x:c>
      <x:c r="O82" s="33" t="str">
        <x:v>test/frontend-audit.test.cjs; backend/test/*.test.cjs; AUDIT-2026-09-09.md</x:v>
      </x:c>
      <x:c r="P82" s="33" t="str"/>
      <x:c r="Q82" s="33" t="str">
        <x:v>PASS theo bằng chứng lịch sử; không chạy lại trong lần tạo workbook này.</x:v>
      </x:c>
    </x:row>
    <x:row r="83" ht="72" customHeight="1">
      <x:c r="A83" s="33" t="str">
        <x:v>U11</x:v>
      </x:c>
      <x:c r="B83" s="33" t="str">
        <x:v>Frontend / Stores</x:v>
      </x:c>
      <x:c r="C83" s="33" t="str">
        <x:v>Unit / Handler</x:v>
      </x:c>
      <x:c r="D83" s="33" t="str">
        <x:v>P0</x:v>
      </x:c>
      <x:c r="E83" s="33" t="str">
        <x:v>checkout blocks double click before stock preflight resolves</x:v>
      </x:c>
      <x:c r="F83" s="33" t="str">
        <x:v>Node.js node:test; mocks/VM/SFC fixtures; no external payment or email service.</x:v>
      </x:c>
      <x:c r="G83" s="33" t="str">
        <x:v>checkout blocks double click before stock preflight resolves</x:v>
      </x:c>
      <x:c r="H83" s="33" t="str">
        <x:v>1) Chuẩn bị điều kiện: Node.js node:test; mocks/VM/SFC fixtures; no external payment or email service. 2) Thực hiện scenario: checkout blocks double click before stock preflight resolves 3) Kiểm tra HTTP/UI/SQL/job side effects. 4) Đối chiếu với kết quả mong đợi và lưu evidence.</x:v>
      </x:c>
      <x:c r="I83" s="33" t="str">
        <x:v>Assertion của case thỏa mãn</x:v>
      </x:c>
      <x:c r="J83" s="33" t="str">
        <x:v>node:test PASS</x:v>
      </x:c>
      <x:c r="K83" s="33" t="str">
        <x:v>PASS</x:v>
      </x:c>
      <x:c r="L83" s="33" t="str">
        <x:v>Automated / evidence</x:v>
      </x:c>
      <x:c r="M83" s="33" t="str">
        <x:v>2026-09-09</x:v>
      </x:c>
      <x:c r="N83" s="33" t="str">
        <x:v>Historical audit / QA evidence</x:v>
      </x:c>
      <x:c r="O83" s="33" t="str">
        <x:v>test/frontend-audit.test.cjs; backend/test/*.test.cjs; AUDIT-2026-09-09.md</x:v>
      </x:c>
      <x:c r="P83" s="33" t="str"/>
      <x:c r="Q83" s="33" t="str">
        <x:v>PASS theo bằng chứng lịch sử; không chạy lại trong lần tạo workbook này.</x:v>
      </x:c>
    </x:row>
    <x:row r="84" ht="72" customHeight="1">
      <x:c r="A84" s="33" t="str">
        <x:v>U12</x:v>
      </x:c>
      <x:c r="B84" s="33" t="str">
        <x:v>Backend / Validation</x:v>
      </x:c>
      <x:c r="C84" s="33" t="str">
        <x:v>Unit / Handler</x:v>
      </x:c>
      <x:c r="D84" s="33" t="str">
        <x:v>P0</x:v>
      </x:c>
      <x:c r="E84" s="33" t="str">
        <x:v>payment: customer declaration never becomes collected money or successful payment</x:v>
      </x:c>
      <x:c r="F84" s="33" t="str">
        <x:v>Node.js node:test; mocks/VM/SFC fixtures; no external payment or email service.</x:v>
      </x:c>
      <x:c r="G84" s="33" t="str">
        <x:v>payment: customer declaration never becomes collected money or successful payment</x:v>
      </x:c>
      <x:c r="H84" s="33" t="str">
        <x:v>1) Chuẩn bị điều kiện: Node.js node:test; mocks/VM/SFC fixtures; no external payment or email service. 2) Thực hiện scenario: payment: customer declaration never becomes collected money or successful payment 3) Kiểm tra HTTP/UI/SQL/job side effects. 4) Đối chiếu với kết quả mong đợi và lưu evidence.</x:v>
      </x:c>
      <x:c r="I84" s="33" t="str">
        <x:v>Assertion của case thỏa mãn</x:v>
      </x:c>
      <x:c r="J84" s="33" t="str">
        <x:v>node:test PASS</x:v>
      </x:c>
      <x:c r="K84" s="33" t="str">
        <x:v>PASS</x:v>
      </x:c>
      <x:c r="L84" s="33" t="str">
        <x:v>Automated / evidence</x:v>
      </x:c>
      <x:c r="M84" s="33" t="str">
        <x:v>2026-09-09</x:v>
      </x:c>
      <x:c r="N84" s="33" t="str">
        <x:v>Historical audit / QA evidence</x:v>
      </x:c>
      <x:c r="O84" s="33" t="str">
        <x:v>test/frontend-audit.test.cjs; backend/test/*.test.cjs; AUDIT-2026-09-09.md</x:v>
      </x:c>
      <x:c r="P84" s="33" t="str"/>
      <x:c r="Q84" s="33" t="str">
        <x:v>PASS theo bằng chứng lịch sử; không chạy lại trong lần tạo workbook này.</x:v>
      </x:c>
    </x:row>
    <x:row r="85" ht="72" customHeight="1">
      <x:c r="A85" s="33" t="str">
        <x:v>U13</x:v>
      </x:c>
      <x:c r="B85" s="33" t="str">
        <x:v>Frontend / Stores</x:v>
      </x:c>
      <x:c r="C85" s="33" t="str">
        <x:v>Unit / Handler</x:v>
      </x:c>
      <x:c r="D85" s="33" t="str">
        <x:v>P0</x:v>
      </x:c>
      <x:c r="E85" s="33" t="str">
        <x:v>payment: customer cannot declare a cancelled order paid</x:v>
      </x:c>
      <x:c r="F85" s="33" t="str">
        <x:v>Node.js node:test; mocks/VM/SFC fixtures; no external payment or email service.</x:v>
      </x:c>
      <x:c r="G85" s="33" t="str">
        <x:v>payment: customer cannot declare a cancelled order paid</x:v>
      </x:c>
      <x:c r="H85" s="33" t="str">
        <x:v>1) Chuẩn bị điều kiện: Node.js node:test; mocks/VM/SFC fixtures; no external payment or email service. 2) Thực hiện scenario: payment: customer cannot declare a cancelled order paid 3) Kiểm tra HTTP/UI/SQL/job side effects. 4) Đối chiếu với kết quả mong đợi và lưu evidence.</x:v>
      </x:c>
      <x:c r="I85" s="33" t="str">
        <x:v>Assertion của case thỏa mãn</x:v>
      </x:c>
      <x:c r="J85" s="33" t="str">
        <x:v>node:test PASS</x:v>
      </x:c>
      <x:c r="K85" s="33" t="str">
        <x:v>PASS</x:v>
      </x:c>
      <x:c r="L85" s="33" t="str">
        <x:v>Automated / evidence</x:v>
      </x:c>
      <x:c r="M85" s="33" t="str">
        <x:v>2026-09-09</x:v>
      </x:c>
      <x:c r="N85" s="33" t="str">
        <x:v>Historical audit / QA evidence</x:v>
      </x:c>
      <x:c r="O85" s="33" t="str">
        <x:v>test/frontend-audit.test.cjs; backend/test/*.test.cjs; AUDIT-2026-09-09.md</x:v>
      </x:c>
      <x:c r="P85" s="33" t="str"/>
      <x:c r="Q85" s="33" t="str">
        <x:v>PASS theo bằng chứng lịch sử; không chạy lại trong lần tạo workbook này.</x:v>
      </x:c>
    </x:row>
    <x:row r="86" ht="72" customHeight="1">
      <x:c r="A86" s="33" t="str">
        <x:v>U14</x:v>
      </x:c>
      <x:c r="B86" s="33" t="str">
        <x:v>Backend / Validation</x:v>
      </x:c>
      <x:c r="C86" s="33" t="str">
        <x:v>Unit / Handler</x:v>
      </x:c>
      <x:c r="D86" s="33" t="str">
        <x:v>P0</x:v>
      </x:c>
      <x:c r="E86" s="33" t="str">
        <x:v>payment: ownership is checked before a mutation</x:v>
      </x:c>
      <x:c r="F86" s="33" t="str">
        <x:v>Node.js node:test; mocks/VM/SFC fixtures; no external payment or email service.</x:v>
      </x:c>
      <x:c r="G86" s="33" t="str">
        <x:v>payment: ownership is checked before a mutation</x:v>
      </x:c>
      <x:c r="H86" s="33" t="str">
        <x:v>1) Chuẩn bị điều kiện: Node.js node:test; mocks/VM/SFC fixtures; no external payment or email service. 2) Thực hiện scenario: payment: ownership is checked before a mutation 3) Kiểm tra HTTP/UI/SQL/job side effects. 4) Đối chiếu với kết quả mong đợi và lưu evidence.</x:v>
      </x:c>
      <x:c r="I86" s="33" t="str">
        <x:v>Assertion của case thỏa mãn</x:v>
      </x:c>
      <x:c r="J86" s="33" t="str">
        <x:v>node:test PASS</x:v>
      </x:c>
      <x:c r="K86" s="33" t="str">
        <x:v>PASS</x:v>
      </x:c>
      <x:c r="L86" s="33" t="str">
        <x:v>Automated / evidence</x:v>
      </x:c>
      <x:c r="M86" s="33" t="str">
        <x:v>2026-09-09</x:v>
      </x:c>
      <x:c r="N86" s="33" t="str">
        <x:v>Historical audit / QA evidence</x:v>
      </x:c>
      <x:c r="O86" s="33" t="str">
        <x:v>test/frontend-audit.test.cjs; backend/test/*.test.cjs; AUDIT-2026-09-09.md</x:v>
      </x:c>
      <x:c r="P86" s="33" t="str"/>
      <x:c r="Q86" s="33" t="str">
        <x:v>PASS theo bằng chứng lịch sử; không chạy lại trong lần tạo workbook này.</x:v>
      </x:c>
    </x:row>
    <x:row r="87" ht="72" customHeight="1">
      <x:c r="A87" s="33" t="str">
        <x:v>U15</x:v>
      </x:c>
      <x:c r="B87" s="33" t="str">
        <x:v>Frontend / Stores</x:v>
      </x:c>
      <x:c r="C87" s="33" t="str">
        <x:v>Unit / Handler</x:v>
      </x:c>
      <x:c r="D87" s="33" t="str">
        <x:v>P0</x:v>
      </x:c>
      <x:c r="E87" s="33" t="str">
        <x:v>payment: admin cannot mark a paid order refunded without a refund transaction</x:v>
      </x:c>
      <x:c r="F87" s="33" t="str">
        <x:v>Node.js node:test; mocks/VM/SFC fixtures; no external payment or email service.</x:v>
      </x:c>
      <x:c r="G87" s="33" t="str">
        <x:v>payment: admin cannot mark a paid order refunded without a refund transaction</x:v>
      </x:c>
      <x:c r="H87" s="33" t="str">
        <x:v>1) Chuẩn bị điều kiện: Node.js node:test; mocks/VM/SFC fixtures; no external payment or email service. 2) Thực hiện scenario: payment: admin cannot mark a paid order refunded without a refund transaction 3) Kiểm tra HTTP/UI/SQL/job side effects. 4) Đối chiếu với kết quả mong đợi và lưu evidence.</x:v>
      </x:c>
      <x:c r="I87" s="33" t="str">
        <x:v>Assertion của case thỏa mãn</x:v>
      </x:c>
      <x:c r="J87" s="33" t="str">
        <x:v>node:test PASS</x:v>
      </x:c>
      <x:c r="K87" s="33" t="str">
        <x:v>PASS</x:v>
      </x:c>
      <x:c r="L87" s="33" t="str">
        <x:v>Automated / evidence</x:v>
      </x:c>
      <x:c r="M87" s="33" t="str">
        <x:v>2026-09-09</x:v>
      </x:c>
      <x:c r="N87" s="33" t="str">
        <x:v>Historical audit / QA evidence</x:v>
      </x:c>
      <x:c r="O87" s="33" t="str">
        <x:v>test/frontend-audit.test.cjs; backend/test/*.test.cjs; AUDIT-2026-09-09.md</x:v>
      </x:c>
      <x:c r="P87" s="33" t="str"/>
      <x:c r="Q87" s="33" t="str">
        <x:v>PASS theo bằng chứng lịch sử; không chạy lại trong lần tạo workbook này.</x:v>
      </x:c>
    </x:row>
    <x:row r="88" ht="72" customHeight="1">
      <x:c r="A88" s="33" t="str">
        <x:v>U16</x:v>
      </x:c>
      <x:c r="B88" s="33" t="str">
        <x:v>Backend / Validation</x:v>
      </x:c>
      <x:c r="C88" s="33" t="str">
        <x:v>Unit / Handler</x:v>
      </x:c>
      <x:c r="D88" s="33" t="str">
        <x:v>P0</x:v>
      </x:c>
      <x:c r="E88" s="33" t="str">
        <x:v>returns: repeated completion is immutable and cannot cancel an already refunded payment</x:v>
      </x:c>
      <x:c r="F88" s="33" t="str">
        <x:v>Node.js node:test; mocks/VM/SFC fixtures; no external payment or email service.</x:v>
      </x:c>
      <x:c r="G88" s="33" t="str">
        <x:v>returns: repeated completion is immutable and cannot cancel an already refunded payment</x:v>
      </x:c>
      <x:c r="H88" s="33" t="str">
        <x:v>1) Chuẩn bị điều kiện: Node.js node:test; mocks/VM/SFC fixtures; no external payment or email service. 2) Thực hiện scenario: returns: repeated completion is immutable and cannot cancel an already refunded payment 3) Kiểm tra HTTP/UI/SQL/job side effects. 4) Đối chiếu với kết quả mong đợi và lưu evidence.</x:v>
      </x:c>
      <x:c r="I88" s="33" t="str">
        <x:v>Assertion của case thỏa mãn</x:v>
      </x:c>
      <x:c r="J88" s="33" t="str">
        <x:v>node:test PASS</x:v>
      </x:c>
      <x:c r="K88" s="33" t="str">
        <x:v>PASS</x:v>
      </x:c>
      <x:c r="L88" s="33" t="str">
        <x:v>Automated / evidence</x:v>
      </x:c>
      <x:c r="M88" s="33" t="str">
        <x:v>2026-09-09</x:v>
      </x:c>
      <x:c r="N88" s="33" t="str">
        <x:v>Historical audit / QA evidence</x:v>
      </x:c>
      <x:c r="O88" s="33" t="str">
        <x:v>test/frontend-audit.test.cjs; backend/test/*.test.cjs; AUDIT-2026-09-09.md</x:v>
      </x:c>
      <x:c r="P88" s="33" t="str"/>
      <x:c r="Q88" s="33" t="str">
        <x:v>PASS theo bằng chứng lịch sử; không chạy lại trong lần tạo workbook này.</x:v>
      </x:c>
    </x:row>
    <x:row r="89" ht="72" customHeight="1">
      <x:c r="A89" s="33" t="str">
        <x:v>U17</x:v>
      </x:c>
      <x:c r="B89" s="33" t="str">
        <x:v>Backend / Validation</x:v>
      </x:c>
      <x:c r="C89" s="33" t="str">
        <x:v>Unit / Handler</x:v>
      </x:c>
      <x:c r="D89" s="33" t="str">
        <x:v>P1</x:v>
      </x:c>
      <x:c r="E89" s="33" t="str">
        <x:v>wallet: sub-cent withdrawal must not create a zero-value transaction</x:v>
      </x:c>
      <x:c r="F89" s="33" t="str">
        <x:v>Node.js node:test; mocks/VM/SFC fixtures; no external payment or email service.</x:v>
      </x:c>
      <x:c r="G89" s="33" t="str">
        <x:v>wallet: sub-cent withdrawal must not create a zero-value transaction</x:v>
      </x:c>
      <x:c r="H89" s="33" t="str">
        <x:v>1) Chuẩn bị điều kiện: Node.js node:test; mocks/VM/SFC fixtures; no external payment or email service. 2) Thực hiện scenario: wallet: sub-cent withdrawal must not create a zero-value transaction 3) Kiểm tra HTTP/UI/SQL/job side effects. 4) Đối chiếu với kết quả mong đợi và lưu evidence.</x:v>
      </x:c>
      <x:c r="I89" s="33" t="str">
        <x:v>Assertion của case thỏa mãn</x:v>
      </x:c>
      <x:c r="J89" s="33" t="str">
        <x:v>node:test PASS</x:v>
      </x:c>
      <x:c r="K89" s="33" t="str">
        <x:v>PASS</x:v>
      </x:c>
      <x:c r="L89" s="33" t="str">
        <x:v>Automated / evidence</x:v>
      </x:c>
      <x:c r="M89" s="33" t="str">
        <x:v>2026-09-09</x:v>
      </x:c>
      <x:c r="N89" s="33" t="str">
        <x:v>Historical audit / QA evidence</x:v>
      </x:c>
      <x:c r="O89" s="33" t="str">
        <x:v>test/frontend-audit.test.cjs; backend/test/*.test.cjs; AUDIT-2026-09-09.md</x:v>
      </x:c>
      <x:c r="P89" s="33" t="str"/>
      <x:c r="Q89" s="33" t="str">
        <x:v>PASS theo bằng chứng lịch sử; không chạy lại trong lần tạo workbook này.</x:v>
      </x:c>
    </x:row>
    <x:row r="90" ht="72" customHeight="1">
      <x:c r="A90" s="33" t="str">
        <x:v>U18</x:v>
      </x:c>
      <x:c r="B90" s="33" t="str">
        <x:v>Backend / Validation</x:v>
      </x:c>
      <x:c r="C90" s="33" t="str">
        <x:v>Unit / Handler</x:v>
      </x:c>
      <x:c r="D90" s="33" t="str">
        <x:v>P1</x:v>
      </x:c>
      <x:c r="E90" s="33" t="str">
        <x:v>wallet: Visa destination is fully masked except its last four digits</x:v>
      </x:c>
      <x:c r="F90" s="33" t="str">
        <x:v>Node.js node:test; mocks/VM/SFC fixtures; no external payment or email service.</x:v>
      </x:c>
      <x:c r="G90" s="33" t="str">
        <x:v>wallet: Visa destination is fully masked except its last four digits</x:v>
      </x:c>
      <x:c r="H90" s="33" t="str">
        <x:v>1) Chuẩn bị điều kiện: Node.js node:test; mocks/VM/SFC fixtures; no external payment or email service. 2) Thực hiện scenario: wallet: Visa destination is fully masked except its last four digits 3) Kiểm tra HTTP/UI/SQL/job side effects. 4) Đối chiếu với kết quả mong đợi và lưu evidence.</x:v>
      </x:c>
      <x:c r="I90" s="33" t="str">
        <x:v>Assertion của case thỏa mãn</x:v>
      </x:c>
      <x:c r="J90" s="33" t="str">
        <x:v>node:test PASS</x:v>
      </x:c>
      <x:c r="K90" s="33" t="str">
        <x:v>PASS</x:v>
      </x:c>
      <x:c r="L90" s="33" t="str">
        <x:v>Automated / evidence</x:v>
      </x:c>
      <x:c r="M90" s="33" t="str">
        <x:v>2026-09-09</x:v>
      </x:c>
      <x:c r="N90" s="33" t="str">
        <x:v>Historical audit / QA evidence</x:v>
      </x:c>
      <x:c r="O90" s="33" t="str">
        <x:v>test/frontend-audit.test.cjs; backend/test/*.test.cjs; AUDIT-2026-09-09.md</x:v>
      </x:c>
      <x:c r="P90" s="33" t="str"/>
      <x:c r="Q90" s="33" t="str">
        <x:v>PASS theo bằng chứng lịch sử; không chạy lại trong lần tạo workbook này.</x:v>
      </x:c>
    </x:row>
    <x:row r="91" ht="72" customHeight="1">
      <x:c r="A91" s="33" t="str">
        <x:v>U19</x:v>
      </x:c>
      <x:c r="B91" s="33" t="str">
        <x:v>Backend / Validation</x:v>
      </x:c>
      <x:c r="C91" s="33" t="str">
        <x:v>Unit / Handler</x:v>
      </x:c>
      <x:c r="D91" s="33" t="str">
        <x:v>P1</x:v>
      </x:c>
      <x:c r="E91" s="33" t="str">
        <x:v>API policy exposes only intended public/customer routes</x:v>
      </x:c>
      <x:c r="F91" s="33" t="str">
        <x:v>Node.js node:test; mocks/VM/SFC fixtures; no external payment or email service.</x:v>
      </x:c>
      <x:c r="G91" s="33" t="str">
        <x:v>API policy exposes only intended public/customer routes</x:v>
      </x:c>
      <x:c r="H91" s="33" t="str">
        <x:v>1) Chuẩn bị điều kiện: Node.js node:test; mocks/VM/SFC fixtures; no external payment or email service. 2) Thực hiện scenario: API policy exposes only intended public/customer routes 3) Kiểm tra HTTP/UI/SQL/job side effects. 4) Đối chiếu với kết quả mong đợi và lưu evidence.</x:v>
      </x:c>
      <x:c r="I91" s="33" t="str">
        <x:v>Assertion của case thỏa mãn</x:v>
      </x:c>
      <x:c r="J91" s="33" t="str">
        <x:v>node:test PASS</x:v>
      </x:c>
      <x:c r="K91" s="33" t="str">
        <x:v>PASS</x:v>
      </x:c>
      <x:c r="L91" s="33" t="str">
        <x:v>Automated / evidence</x:v>
      </x:c>
      <x:c r="M91" s="33" t="str">
        <x:v>2026-09-09</x:v>
      </x:c>
      <x:c r="N91" s="33" t="str">
        <x:v>Historical audit / QA evidence</x:v>
      </x:c>
      <x:c r="O91" s="33" t="str">
        <x:v>test/frontend-audit.test.cjs; backend/test/*.test.cjs; AUDIT-2026-09-09.md</x:v>
      </x:c>
      <x:c r="P91" s="33" t="str"/>
      <x:c r="Q91" s="33" t="str">
        <x:v>PASS theo bằng chứng lịch sử; không chạy lại trong lần tạo workbook này.</x:v>
      </x:c>
    </x:row>
    <x:row r="92" ht="72" customHeight="1">
      <x:c r="A92" s="33" t="str">
        <x:v>U20</x:v>
      </x:c>
      <x:c r="B92" s="33" t="str">
        <x:v>Unit / Handler</x:v>
      </x:c>
      <x:c r="C92" s="33" t="str">
        <x:v>Unit / Handler</x:v>
      </x:c>
      <x:c r="D92" s="33" t="str">
        <x:v>P1</x:v>
      </x:c>
      <x:c r="E92" s="33" t="str">
        <x:v>untrusted X-Forwarded-For rotation cannot bypass the write limit</x:v>
      </x:c>
      <x:c r="F92" s="33" t="str">
        <x:v>Node.js node:test; mocks/VM/SFC fixtures; no external payment or email service.</x:v>
      </x:c>
      <x:c r="G92" s="33" t="str">
        <x:v>untrusted X-Forwarded-For rotation cannot bypass the write limit</x:v>
      </x:c>
      <x:c r="H92" s="33" t="str">
        <x:v>1) Chuẩn bị điều kiện: Node.js node:test; mocks/VM/SFC fixtures; no external payment or email service. 2) Thực hiện scenario: untrusted X-Forwarded-For rotation cannot bypass the write limit 3) Kiểm tra HTTP/UI/SQL/job side effects. 4) Đối chiếu với kết quả mong đợi và lưu evidence.</x:v>
      </x:c>
      <x:c r="I92" s="33" t="str">
        <x:v>Assertion của case thỏa mãn</x:v>
      </x:c>
      <x:c r="J92" s="33" t="str">
        <x:v>node:test PASS</x:v>
      </x:c>
      <x:c r="K92" s="33" t="str">
        <x:v>PASS</x:v>
      </x:c>
      <x:c r="L92" s="33" t="str">
        <x:v>Automated / evidence</x:v>
      </x:c>
      <x:c r="M92" s="33" t="str">
        <x:v>2026-09-09</x:v>
      </x:c>
      <x:c r="N92" s="33" t="str">
        <x:v>Historical audit / QA evidence</x:v>
      </x:c>
      <x:c r="O92" s="33" t="str">
        <x:v>test/frontend-audit.test.cjs; backend/test/*.test.cjs; AUDIT-2026-09-09.md</x:v>
      </x:c>
      <x:c r="P92" s="33" t="str"/>
      <x:c r="Q92" s="33" t="str">
        <x:v>PASS theo bằng chứng lịch sử; không chạy lại trong lần tạo workbook này.</x:v>
      </x:c>
    </x:row>
    <x:row r="93" ht="72" customHeight="1">
      <x:c r="A93" s="33" t="str">
        <x:v>U21</x:v>
      </x:c>
      <x:c r="B93" s="33" t="str">
        <x:v>Backend / Validation</x:v>
      </x:c>
      <x:c r="C93" s="33" t="str">
        <x:v>Unit / Handler</x:v>
      </x:c>
      <x:c r="D93" s="33" t="str">
        <x:v>P1</x:v>
      </x:c>
      <x:c r="E93" s="33" t="str">
        <x:v>passwords are hashed and verified without storing plaintext</x:v>
      </x:c>
      <x:c r="F93" s="33" t="str">
        <x:v>Node.js node:test; mocks/VM/SFC fixtures; no external payment or email service.</x:v>
      </x:c>
      <x:c r="G93" s="33" t="str">
        <x:v>passwords are hashed and verified without storing plaintext</x:v>
      </x:c>
      <x:c r="H93" s="33" t="str">
        <x:v>1) Chuẩn bị điều kiện: Node.js node:test; mocks/VM/SFC fixtures; no external payment or email service. 2) Thực hiện scenario: passwords are hashed and verified without storing plaintext 3) Kiểm tra HTTP/UI/SQL/job side effects. 4) Đối chiếu với kết quả mong đợi và lưu evidence.</x:v>
      </x:c>
      <x:c r="I93" s="33" t="str">
        <x:v>Assertion của case thỏa mãn</x:v>
      </x:c>
      <x:c r="J93" s="33" t="str">
        <x:v>node:test PASS</x:v>
      </x:c>
      <x:c r="K93" s="33" t="str">
        <x:v>PASS</x:v>
      </x:c>
      <x:c r="L93" s="33" t="str">
        <x:v>Automated / evidence</x:v>
      </x:c>
      <x:c r="M93" s="33" t="str">
        <x:v>2026-09-09</x:v>
      </x:c>
      <x:c r="N93" s="33" t="str">
        <x:v>Historical audit / QA evidence</x:v>
      </x:c>
      <x:c r="O93" s="33" t="str">
        <x:v>test/frontend-audit.test.cjs; backend/test/*.test.cjs; AUDIT-2026-09-09.md</x:v>
      </x:c>
      <x:c r="P93" s="33" t="str"/>
      <x:c r="Q93" s="33" t="str">
        <x:v>PASS theo bằng chứng lịch sử; không chạy lại trong lần tạo workbook này.</x:v>
      </x:c>
    </x:row>
    <x:row r="94" ht="72" customHeight="1">
      <x:c r="A94" s="33" t="str">
        <x:v>U22</x:v>
      </x:c>
      <x:c r="B94" s="33" t="str">
        <x:v>Unit / Handler</x:v>
      </x:c>
      <x:c r="C94" s="33" t="str">
        <x:v>Unit / Handler</x:v>
      </x:c>
      <x:c r="D94" s="33" t="str">
        <x:v>P1</x:v>
      </x:c>
      <x:c r="E94" s="33" t="str">
        <x:v>read polling can be skipped without disabling write rate limits</x:v>
      </x:c>
      <x:c r="F94" s="33" t="str">
        <x:v>Node.js node:test; mocks/VM/SFC fixtures; no external payment or email service.</x:v>
      </x:c>
      <x:c r="G94" s="33" t="str">
        <x:v>read polling can be skipped without disabling write rate limits</x:v>
      </x:c>
      <x:c r="H94" s="33" t="str">
        <x:v>1) Chuẩn bị điều kiện: Node.js node:test; mocks/VM/SFC fixtures; no external payment or email service. 2) Thực hiện scenario: read polling can be skipped without disabling write rate limits 3) Kiểm tra HTTP/UI/SQL/job side effects. 4) Đối chiếu với kết quả mong đợi và lưu evidence.</x:v>
      </x:c>
      <x:c r="I94" s="33" t="str">
        <x:v>Assertion của case thỏa mãn</x:v>
      </x:c>
      <x:c r="J94" s="33" t="str">
        <x:v>node:test PASS</x:v>
      </x:c>
      <x:c r="K94" s="33" t="str">
        <x:v>PASS</x:v>
      </x:c>
      <x:c r="L94" s="33" t="str">
        <x:v>Automated / evidence</x:v>
      </x:c>
      <x:c r="M94" s="33" t="str">
        <x:v>2026-09-09</x:v>
      </x:c>
      <x:c r="N94" s="33" t="str">
        <x:v>Historical audit / QA evidence</x:v>
      </x:c>
      <x:c r="O94" s="33" t="str">
        <x:v>test/frontend-audit.test.cjs; backend/test/*.test.cjs; AUDIT-2026-09-09.md</x:v>
      </x:c>
      <x:c r="P94" s="33" t="str"/>
      <x:c r="Q94" s="33" t="str">
        <x:v>PASS theo bằng chứng lịch sử; không chạy lại trong lần tạo workbook này.</x:v>
      </x:c>
    </x:row>
    <x:row r="95" ht="72" customHeight="1">
      <x:c r="A95" s="33" t="str">
        <x:v>U23</x:v>
      </x:c>
      <x:c r="B95" s="33" t="str">
        <x:v>Backend / Validation</x:v>
      </x:c>
      <x:c r="C95" s="33" t="str">
        <x:v>Unit / Handler</x:v>
      </x:c>
      <x:c r="D95" s="33" t="str">
        <x:v>P1</x:v>
      </x:c>
      <x:c r="E95" s="33" t="str">
        <x:v>primitive validators reject ambiguous IDs and booleans</x:v>
      </x:c>
      <x:c r="F95" s="33" t="str">
        <x:v>Node.js node:test; mocks/VM/SFC fixtures; no external payment or email service.</x:v>
      </x:c>
      <x:c r="G95" s="33" t="str">
        <x:v>primitive validators reject ambiguous IDs and booleans</x:v>
      </x:c>
      <x:c r="H95" s="33" t="str">
        <x:v>1) Chuẩn bị điều kiện: Node.js node:test; mocks/VM/SFC fixtures; no external payment or email service. 2) Thực hiện scenario: primitive validators reject ambiguous IDs and booleans 3) Kiểm tra HTTP/UI/SQL/job side effects. 4) Đối chiếu với kết quả mong đợi và lưu evidence.</x:v>
      </x:c>
      <x:c r="I95" s="33" t="str">
        <x:v>Assertion của case thỏa mãn</x:v>
      </x:c>
      <x:c r="J95" s="33" t="str">
        <x:v>node:test PASS</x:v>
      </x:c>
      <x:c r="K95" s="33" t="str">
        <x:v>PASS</x:v>
      </x:c>
      <x:c r="L95" s="33" t="str">
        <x:v>Automated / evidence</x:v>
      </x:c>
      <x:c r="M95" s="33" t="str">
        <x:v>2026-09-09</x:v>
      </x:c>
      <x:c r="N95" s="33" t="str">
        <x:v>Historical audit / QA evidence</x:v>
      </x:c>
      <x:c r="O95" s="33" t="str">
        <x:v>test/frontend-audit.test.cjs; backend/test/*.test.cjs; AUDIT-2026-09-09.md</x:v>
      </x:c>
      <x:c r="P95" s="33" t="str"/>
      <x:c r="Q95" s="33" t="str">
        <x:v>PASS theo bằng chứng lịch sử; không chạy lại trong lần tạo workbook này.</x:v>
      </x:c>
    </x:row>
    <x:row r="96" ht="72" customHeight="1">
      <x:c r="A96" s="33" t="str">
        <x:v>U24</x:v>
      </x:c>
      <x:c r="B96" s="33" t="str">
        <x:v>Unit / Handler</x:v>
      </x:c>
      <x:c r="C96" s="33" t="str">
        <x:v>Unit / Handler</x:v>
      </x:c>
      <x:c r="D96" s="33" t="str">
        <x:v>P1</x:v>
      </x:c>
      <x:c r="E96" s="33" t="str">
        <x:v>catalog payload requires a bounded name and valid state</x:v>
      </x:c>
      <x:c r="F96" s="33" t="str">
        <x:v>Node.js node:test; mocks/VM/SFC fixtures; no external payment or email service.</x:v>
      </x:c>
      <x:c r="G96" s="33" t="str">
        <x:v>catalog payload requires a bounded name and valid state</x:v>
      </x:c>
      <x:c r="H96" s="33" t="str">
        <x:v>1) Chuẩn bị điều kiện: Node.js node:test; mocks/VM/SFC fixtures; no external payment or email service. 2) Thực hiện scenario: catalog payload requires a bounded name and valid state 3) Kiểm tra HTTP/UI/SQL/job side effects. 4) Đối chiếu với kết quả mong đợi và lưu evidence.</x:v>
      </x:c>
      <x:c r="I96" s="33" t="str">
        <x:v>Assertion của case thỏa mãn</x:v>
      </x:c>
      <x:c r="J96" s="33" t="str">
        <x:v>node:test PASS</x:v>
      </x:c>
      <x:c r="K96" s="33" t="str">
        <x:v>PASS</x:v>
      </x:c>
      <x:c r="L96" s="33" t="str">
        <x:v>Automated / evidence</x:v>
      </x:c>
      <x:c r="M96" s="33" t="str">
        <x:v>2026-09-09</x:v>
      </x:c>
      <x:c r="N96" s="33" t="str">
        <x:v>Historical audit / QA evidence</x:v>
      </x:c>
      <x:c r="O96" s="33" t="str">
        <x:v>test/frontend-audit.test.cjs; backend/test/*.test.cjs; AUDIT-2026-09-09.md</x:v>
      </x:c>
      <x:c r="P96" s="33" t="str"/>
      <x:c r="Q96" s="33" t="str">
        <x:v>PASS theo bằng chứng lịch sử; không chạy lại trong lần tạo workbook này.</x:v>
      </x:c>
    </x:row>
    <x:row r="97" ht="72" customHeight="1">
      <x:c r="A97" s="33" t="str">
        <x:v>U25</x:v>
      </x:c>
      <x:c r="B97" s="33" t="str">
        <x:v>Backend / Validation</x:v>
      </x:c>
      <x:c r="C97" s="33" t="str">
        <x:v>Unit / Handler</x:v>
      </x:c>
      <x:c r="D97" s="33" t="str">
        <x:v>P1</x:v>
      </x:c>
      <x:c r="E97" s="33" t="str">
        <x:v>product payload validates prices, variants and duplicate combinations</x:v>
      </x:c>
      <x:c r="F97" s="33" t="str">
        <x:v>Node.js node:test; mocks/VM/SFC fixtures; no external payment or email service.</x:v>
      </x:c>
      <x:c r="G97" s="33" t="str">
        <x:v>product payload validates prices, variants and duplicate combinations</x:v>
      </x:c>
      <x:c r="H97" s="33" t="str">
        <x:v>1) Chuẩn bị điều kiện: Node.js node:test; mocks/VM/SFC fixtures; no external payment or email service. 2) Thực hiện scenario: product payload validates prices, variants and duplicate combinations 3) Kiểm tra HTTP/UI/SQL/job side effects. 4) Đối chiếu với kết quả mong đợi và lưu evidence.</x:v>
      </x:c>
      <x:c r="I97" s="33" t="str">
        <x:v>Assertion của case thỏa mãn</x:v>
      </x:c>
      <x:c r="J97" s="33" t="str">
        <x:v>node:test PASS</x:v>
      </x:c>
      <x:c r="K97" s="33" t="str">
        <x:v>PASS</x:v>
      </x:c>
      <x:c r="L97" s="33" t="str">
        <x:v>Automated / evidence</x:v>
      </x:c>
      <x:c r="M97" s="33" t="str">
        <x:v>2026-09-09</x:v>
      </x:c>
      <x:c r="N97" s="33" t="str">
        <x:v>Historical audit / QA evidence</x:v>
      </x:c>
      <x:c r="O97" s="33" t="str">
        <x:v>test/frontend-audit.test.cjs; backend/test/*.test.cjs; AUDIT-2026-09-09.md</x:v>
      </x:c>
      <x:c r="P97" s="33" t="str"/>
      <x:c r="Q97" s="33" t="str">
        <x:v>PASS theo bằng chứng lịch sử; không chạy lại trong lần tạo workbook này.</x:v>
      </x:c>
    </x:row>
    <x:row r="98" ht="72" customHeight="1">
      <x:c r="A98" s="33" t="str">
        <x:v>U26</x:v>
      </x:c>
      <x:c r="B98" s="33" t="str">
        <x:v>Backend / Validation</x:v>
      </x:c>
      <x:c r="C98" s="33" t="str">
        <x:v>Unit / Handler</x:v>
      </x:c>
      <x:c r="D98" s="33" t="str">
        <x:v>P1</x:v>
      </x:c>
      <x:c r="E98" s="33" t="str">
        <x:v>coupon and variant discount payloads enforce business ranges</x:v>
      </x:c>
      <x:c r="F98" s="33" t="str">
        <x:v>Node.js node:test; mocks/VM/SFC fixtures; no external payment or email service.</x:v>
      </x:c>
      <x:c r="G98" s="33" t="str">
        <x:v>coupon and variant discount payloads enforce business ranges</x:v>
      </x:c>
      <x:c r="H98" s="33" t="str">
        <x:v>1) Chuẩn bị điều kiện: Node.js node:test; mocks/VM/SFC fixtures; no external payment or email service. 2) Thực hiện scenario: coupon and variant discount payloads enforce business ranges 3) Kiểm tra HTTP/UI/SQL/job side effects. 4) Đối chiếu với kết quả mong đợi và lưu evidence.</x:v>
      </x:c>
      <x:c r="I98" s="33" t="str">
        <x:v>Assertion của case thỏa mãn</x:v>
      </x:c>
      <x:c r="J98" s="33" t="str">
        <x:v>node:test PASS</x:v>
      </x:c>
      <x:c r="K98" s="33" t="str">
        <x:v>PASS</x:v>
      </x:c>
      <x:c r="L98" s="33" t="str">
        <x:v>Automated / evidence</x:v>
      </x:c>
      <x:c r="M98" s="33" t="str">
        <x:v>2026-09-09</x:v>
      </x:c>
      <x:c r="N98" s="33" t="str">
        <x:v>Historical audit / QA evidence</x:v>
      </x:c>
      <x:c r="O98" s="33" t="str">
        <x:v>test/frontend-audit.test.cjs; backend/test/*.test.cjs; AUDIT-2026-09-09.md</x:v>
      </x:c>
      <x:c r="P98" s="33" t="str"/>
      <x:c r="Q98" s="33" t="str">
        <x:v>PASS theo bằng chứng lịch sử; không chạy lại trong lần tạo workbook này.</x:v>
      </x:c>
    </x:row>
    <x:row r="99" ht="72" customHeight="1">
      <x:c r="A99" s="33" t="str">
        <x:v>U27</x:v>
      </x:c>
      <x:c r="B99" s="33" t="str">
        <x:v>Unit / Handler</x:v>
      </x:c>
      <x:c r="C99" s="33" t="str">
        <x:v>Unit / Handler</x:v>
      </x:c>
      <x:c r="D99" s="33" t="str">
        <x:v>P1</x:v>
      </x:c>
      <x:c r="E99" s="33" t="str">
        <x:v>Ảnh biến thể đầu tiên cập nhật ảnh bìa; ảnh bìa tùy chỉnh và biến thể khác độc lập</x:v>
      </x:c>
      <x:c r="F99" s="33" t="str">
        <x:v>Node.js node:test; mocks/VM/SFC fixtures; no external payment or email service.</x:v>
      </x:c>
      <x:c r="G99" s="33" t="str">
        <x:v>Ảnh biến thể đầu tiên cập nhật ảnh bìa; ảnh bìa tùy chỉnh và biến thể khác độc lập</x:v>
      </x:c>
      <x:c r="H99" s="33" t="str">
        <x:v>1) Chuẩn bị điều kiện: Node.js node:test; mocks/VM/SFC fixtures; no external payment or email service. 2) Thực hiện scenario: Ảnh biến thể đầu tiên cập nhật ảnh bìa; ảnh bìa tùy chỉnh và biến thể khác độc lập 3) Kiểm tra HTTP/UI/SQL/job side effects. 4) Đối chiếu với kết quả mong đợi và lưu evidence.</x:v>
      </x:c>
      <x:c r="I99" s="33" t="str">
        <x:v>Các assertion về ảnh bìa và ảnh biến thể đều thỏa mãn</x:v>
      </x:c>
      <x:c r="J99" s="33" t="str">
        <x:v>node:test PASS (npm test 2026-09-15)</x:v>
      </x:c>
      <x:c r="K99" s="33" t="str">
        <x:v>PASS</x:v>
      </x:c>
      <x:c r="L99" s="33" t="str">
        <x:v>Automated / evidence</x:v>
      </x:c>
      <x:c r="M99" s="33" t="str">
        <x:v>2026-09-15</x:v>
      </x:c>
      <x:c r="N99" s="33" t="str">
        <x:v>Codex / QA automation</x:v>
      </x:c>
      <x:c r="O99" s="33" t="str">
        <x:v>test/frontend-audit.test.cjs; npm test (2026-09-15)</x:v>
      </x:c>
      <x:c r="P99" s="33" t="str"/>
      <x:c r="Q99" s="33" t="str">
        <x:v>PASS theo npm test ngày 2026-09-15; không chạy lại khi tạo workbook.</x:v>
      </x:c>
    </x:row>
    <x:row r="100" ht="72" customHeight="1">
      <x:c r="A100" s="33" t="str">
        <x:v>U28</x:v>
      </x:c>
      <x:c r="B100" s="33" t="str">
        <x:v>Unit / Handler</x:v>
      </x:c>
      <x:c r="C100" s="33" t="str">
        <x:v>Unit / Handler</x:v>
      </x:c>
      <x:c r="D100" s="33" t="str">
        <x:v>P1</x:v>
      </x:c>
      <x:c r="E100" s="33" t="str">
        <x:v>Upload ảnh từ thiết bị tuân thủ quy tắc đồng bộ một chiều giữa biến thể và ảnh bìa</x:v>
      </x:c>
      <x:c r="F100" s="33" t="str">
        <x:v>Node.js node:test; mocks/VM/SFC fixtures; no external payment or email service.</x:v>
      </x:c>
      <x:c r="G100" s="33" t="str">
        <x:v>Upload ảnh từ thiết bị tuân thủ quy tắc đồng bộ một chiều giữa biến thể và ảnh bìa</x:v>
      </x:c>
      <x:c r="H100" s="33" t="str">
        <x:v>1) Chuẩn bị điều kiện: Node.js node:test; mocks/VM/SFC fixtures; no external payment or email service. 2) Thực hiện scenario: Upload ảnh từ thiết bị tuân thủ quy tắc đồng bộ một chiều giữa biến thể và ảnh bìa 3) Kiểm tra HTTP/UI/SQL/job side effects. 4) Đối chiếu với kết quả mong đợi và lưu evidence.</x:v>
      </x:c>
      <x:c r="I100" s="33" t="str">
        <x:v>Các assertion về ảnh bìa và ảnh biến thể đều thỏa mãn</x:v>
      </x:c>
      <x:c r="J100" s="33" t="str">
        <x:v>node:test PASS (npm test 2026-09-15)</x:v>
      </x:c>
      <x:c r="K100" s="33" t="str">
        <x:v>PASS</x:v>
      </x:c>
      <x:c r="L100" s="33" t="str">
        <x:v>Automated / evidence</x:v>
      </x:c>
      <x:c r="M100" s="33" t="str">
        <x:v>2026-09-15</x:v>
      </x:c>
      <x:c r="N100" s="33" t="str">
        <x:v>Codex / QA automation</x:v>
      </x:c>
      <x:c r="O100" s="33" t="str">
        <x:v>test/frontend-audit.test.cjs; npm test (2026-09-15)</x:v>
      </x:c>
      <x:c r="P100" s="33" t="str"/>
      <x:c r="Q100" s="33" t="str">
        <x:v>PASS theo npm test ngày 2026-09-15; không chạy lại khi tạo workbook.</x:v>
      </x:c>
    </x:row>
    <x:row r="101" ht="72" customHeight="1">
      <x:c r="A101" s="33" t="str">
        <x:v>U29</x:v>
      </x:c>
      <x:c r="B101" s="33" t="str">
        <x:v>Unit / Handler</x:v>
      </x:c>
      <x:c r="C101" s="33" t="str">
        <x:v>Unit / Handler</x:v>
      </x:c>
      <x:c r="D101" s="33" t="str">
        <x:v>P1</x:v>
      </x:c>
      <x:c r="E101" s="33" t="str">
        <x:v>Màu đầu tiên có ảnh cấp ảnh bìa; các màu thêm sau không ghi đè ảnh bìa</x:v>
      </x:c>
      <x:c r="F101" s="33" t="str">
        <x:v>Node.js node:test; mocks/VM/SFC fixtures; no external payment or email service.</x:v>
      </x:c>
      <x:c r="G101" s="33" t="str">
        <x:v>Màu đầu tiên có ảnh cấp ảnh bìa; các màu thêm sau không ghi đè ảnh bìa</x:v>
      </x:c>
      <x:c r="H101" s="33" t="str">
        <x:v>1) Chuẩn bị điều kiện: Node.js node:test; mocks/VM/SFC fixtures; no external payment or email service. 2) Thực hiện scenario: Màu đầu tiên có ảnh cấp ảnh bìa; các màu thêm sau không ghi đè ảnh bìa 3) Kiểm tra HTTP/UI/SQL/job side effects. 4) Đối chiếu với kết quả mong đợi và lưu evidence.</x:v>
      </x:c>
      <x:c r="I101" s="33" t="str">
        <x:v>Các assertion về ảnh bìa và ảnh biến thể đều thỏa mãn</x:v>
      </x:c>
      <x:c r="J101" s="33" t="str">
        <x:v>node:test PASS (npm test 2026-09-15)</x:v>
      </x:c>
      <x:c r="K101" s="33" t="str">
        <x:v>PASS</x:v>
      </x:c>
      <x:c r="L101" s="33" t="str">
        <x:v>Automated / evidence</x:v>
      </x:c>
      <x:c r="M101" s="33" t="str">
        <x:v>2026-09-15</x:v>
      </x:c>
      <x:c r="N101" s="33" t="str">
        <x:v>Codex / QA automation</x:v>
      </x:c>
      <x:c r="O101" s="33" t="str">
        <x:v>test/frontend-audit.test.cjs; npm test (2026-09-15)</x:v>
      </x:c>
      <x:c r="P101" s="33" t="str"/>
      <x:c r="Q101" s="33" t="str">
        <x:v>PASS theo npm test ngày 2026-09-15; không chạy lại khi tạo workbook.</x:v>
      </x:c>
    </x:row>
    <x:row r="102" ht="72" customHeight="1">
      <x:c r="A102" s="33" t="str">
        <x:v>UI-01</x:v>
      </x:c>
      <x:c r="B102" s="33" t="str">
        <x:v>Backend / Validation</x:v>
      </x:c>
      <x:c r="C102" s="33" t="str">
        <x:v>UI Smoke</x:v>
      </x:c>
      <x:c r="D102" s="33" t="str">
        <x:v>P2</x:v>
      </x:c>
      <x:c r="E102" s="33" t="str">
        <x:v>Home và ProductDetail policy</x:v>
      </x:c>
      <x:c r="F102" s="33" t="str">
        <x:v>Vite customer UI; synthetic @example.test user; audit fixture and SQL comparison available.</x:v>
      </x:c>
      <x:c r="G102" s="33" t="str">
        <x:v>Home và ProductDetail policy</x:v>
      </x:c>
      <x:c r="H102" s="33" t="str">
        <x:v>1) Chuẩn bị điều kiện: Vite customer UI; synthetic @example.test user; audit fixture and SQL comparison available. 2) Thực hiện scenario: Home và ProductDetail policy 3) Kiểm tra HTTP/UI/SQL/job side effects. 4) Đối chiếu với kết quả mong đợi và lưu evidence.</x:v>
      </x:c>
      <x:c r="I102" s="33" t="str">
        <x:v>14 ngày; phí xem khi checkout</x:v>
      </x:c>
      <x:c r="J102" s="33" t="str">
        <x:v>Quan sát UI đúng sau sửa</x:v>
      </x:c>
      <x:c r="K102" s="33" t="str">
        <x:v>PASS</x:v>
      </x:c>
      <x:c r="L102" s="33" t="str">
        <x:v>Manual smoke</x:v>
      </x:c>
      <x:c r="M102" s="33" t="str">
        <x:v>2026-09-09</x:v>
      </x:c>
      <x:c r="N102" s="33" t="str">
        <x:v>Historical audit / QA evidence</x:v>
      </x:c>
      <x:c r="O102" s="33" t="str">
        <x:v>AUDIT-2026-09-09.md; docs/audit/ui-database-results.json</x:v>
      </x:c>
      <x:c r="P102" s="33" t="str"/>
      <x:c r="Q102" s="33" t="str">
        <x:v>PASS theo bằng chứng lịch sử; không chạy lại trong lần tạo workbook này.</x:v>
      </x:c>
    </x:row>
    <x:row r="103" ht="72" customHeight="1">
      <x:c r="A103" s="33" t="str">
        <x:v>UI-02</x:v>
      </x:c>
      <x:c r="B103" s="33" t="str">
        <x:v>Unit / Handler</x:v>
      </x:c>
      <x:c r="C103" s="33" t="str">
        <x:v>UI Smoke</x:v>
      </x:c>
      <x:c r="D103" s="33" t="str">
        <x:v>P2</x:v>
      </x:c>
      <x:c r="E103" s="33" t="str">
        <x:v>Variant M còn 100 / L hết hàng</x:v>
      </x:c>
      <x:c r="F103" s="33" t="str">
        <x:v>Vite customer UI; synthetic @example.test user; audit fixture and SQL comparison available.</x:v>
      </x:c>
      <x:c r="G103" s="33" t="str">
        <x:v>Variant M còn 100 / L hết hàng</x:v>
      </x:c>
      <x:c r="H103" s="33" t="str">
        <x:v>1) Chuẩn bị điều kiện: Vite customer UI; synthetic @example.test user; audit fixture and SQL comparison available. 2) Thực hiện scenario: Variant M còn 100 / L hết hàng 3) Kiểm tra HTTP/UI/SQL/job side effects. 4) Đối chiếu với kết quả mong đợi và lưu evidence.</x:v>
      </x:c>
      <x:c r="I103" s="33" t="str">
        <x:v>M mua được, L bị disable</x:v>
      </x:c>
      <x:c r="J103" s="33" t="str">
        <x:v>UI hiển thị L Hết; M còn hàng</x:v>
      </x:c>
      <x:c r="K103" s="33" t="str">
        <x:v>PASS</x:v>
      </x:c>
      <x:c r="L103" s="33" t="str">
        <x:v>Manual smoke</x:v>
      </x:c>
      <x:c r="M103" s="33" t="str">
        <x:v>2026-09-09</x:v>
      </x:c>
      <x:c r="N103" s="33" t="str">
        <x:v>Historical audit / QA evidence</x:v>
      </x:c>
      <x:c r="O103" s="33" t="str">
        <x:v>AUDIT-2026-09-09.md; docs/audit/ui-database-results.json</x:v>
      </x:c>
      <x:c r="P103" s="33" t="str"/>
      <x:c r="Q103" s="33" t="str">
        <x:v>PASS theo bằng chứng lịch sử; không chạy lại trong lần tạo workbook này.</x:v>
      </x:c>
    </x:row>
    <x:row r="104" ht="72" customHeight="1">
      <x:c r="A104" s="33" t="str">
        <x:v>UI-03</x:v>
      </x:c>
      <x:c r="B104" s="33" t="str">
        <x:v>Frontend / Stores</x:v>
      </x:c>
      <x:c r="C104" s="33" t="str">
        <x:v>UI Smoke</x:v>
      </x:c>
      <x:c r="D104" s="33" t="str">
        <x:v>P2</x:v>
      </x:c>
      <x:c r="E104" s="33" t="str">
        <x:v>Cart → checkout → COD success</x:v>
      </x:c>
      <x:c r="F104" s="33" t="str">
        <x:v>Vite customer UI; synthetic @example.test user; audit fixture and SQL comparison available.</x:v>
      </x:c>
      <x:c r="G104" s="33" t="str">
        <x:v>Cart → checkout → COD success</x:v>
      </x:c>
      <x:c r="H104" s="33" t="str">
        <x:v>1) Chuẩn bị điều kiện: Vite customer UI; synthetic @example.test user; audit fixture and SQL comparison available. 2) Thực hiện scenario: Cart → checkout → COD success 3) Kiểm tra HTTP/UI/SQL/job side effects. 4) Đối chiếu với kết quả mong đợi và lưu evidence.</x:v>
      </x:c>
      <x:c r="I104" s="33" t="str">
        <x:v>500k + 75k; một đơn được lưu</x:v>
      </x:c>
      <x:c r="J104" s="33" t="str">
        <x:v>UI SG186668; SQL OrderID85, qty1, total575000, stock99</x:v>
      </x:c>
      <x:c r="K104" s="33" t="str">
        <x:v>PASS</x:v>
      </x:c>
      <x:c r="L104" s="33" t="str">
        <x:v>Manual smoke</x:v>
      </x:c>
      <x:c r="M104" s="33" t="str">
        <x:v>2026-09-09</x:v>
      </x:c>
      <x:c r="N104" s="33" t="str">
        <x:v>Historical audit / QA evidence</x:v>
      </x:c>
      <x:c r="O104" s="33" t="str">
        <x:v>AUDIT-2026-09-09.md; docs/audit/ui-database-results.json</x:v>
      </x:c>
      <x:c r="P104" s="33" t="str"/>
      <x:c r="Q104" s="33" t="str">
        <x:v>PASS theo bằng chứng lịch sử; không chạy lại trong lần tạo workbook này.</x:v>
      </x:c>
    </x:row>
    <x:row r="105" ht="72" customHeight="1">
      <x:c r="A105" s="33" t="str">
        <x:v>UI-04</x:v>
      </x:c>
      <x:c r="B105" s="33" t="str">
        <x:v>Unit / Handler</x:v>
      </x:c>
      <x:c r="C105" s="33" t="str">
        <x:v>UI Smoke</x:v>
      </x:c>
      <x:c r="D105" s="33" t="str">
        <x:v>P2</x:v>
      </x:c>
      <x:c r="E105" s="33" t="str">
        <x:v>Account → hủy đơn có lý do</x:v>
      </x:c>
      <x:c r="F105" s="33" t="str">
        <x:v>Vite customer UI; synthetic @example.test user; audit fixture and SQL comparison available.</x:v>
      </x:c>
      <x:c r="G105" s="33" t="str">
        <x:v>Account → hủy đơn có lý do</x:v>
      </x:c>
      <x:c r="H105" s="33" t="str">
        <x:v>1) Chuẩn bị điều kiện: Vite customer UI; synthetic @example.test user; audit fixture and SQL comparison available. 2) Thực hiện scenario: Account → hủy đơn có lý do 3) Kiểm tra HTTP/UI/SQL/job side effects. 4) Đối chiếu với kết quả mong đợi và lưu evidence.</x:v>
      </x:c>
      <x:c r="I105" s="33" t="str">
        <x:v>Đã hủy, stock trả một lần</x:v>
      </x:c>
      <x:c r="J105" s="33" t="str">
        <x:v>UI Đã hủy; SQL PaymentStatus Đã hủy, stock100, StockRestoredAt có giá trị</x:v>
      </x:c>
      <x:c r="K105" s="33" t="str">
        <x:v>PASS</x:v>
      </x:c>
      <x:c r="L105" s="33" t="str">
        <x:v>Manual smoke</x:v>
      </x:c>
      <x:c r="M105" s="33" t="str">
        <x:v>2026-09-09</x:v>
      </x:c>
      <x:c r="N105" s="33" t="str">
        <x:v>Historical audit / QA evidence</x:v>
      </x:c>
      <x:c r="O105" s="33" t="str">
        <x:v>AUDIT-2026-09-09.md; docs/audit/ui-database-results.json</x:v>
      </x:c>
      <x:c r="P105" s="33" t="str"/>
      <x:c r="Q105" s="33" t="str">
        <x:v>PASS theo bằng chứng lịch sử; không chạy lại trong lần tạo workbook này.</x:v>
      </x:c>
    </x:row>
    <x:row r="106" ht="72" customHeight="1">
      <x:c r="A106" s="33" t="str">
        <x:v>UI-05</x:v>
      </x:c>
      <x:c r="B106" s="33" t="str">
        <x:v>Unit / Handler</x:v>
      </x:c>
      <x:c r="C106" s="33" t="str">
        <x:v>UI Smoke</x:v>
      </x:c>
      <x:c r="D106" s="33" t="str">
        <x:v>P2</x:v>
      </x:c>
      <x:c r="E106" s="33" t="str">
        <x:v>Drawer không dùng phí giả 30k</x:v>
      </x:c>
      <x:c r="F106" s="33" t="str">
        <x:v>Vite customer UI; synthetic @example.test user; audit fixture and SQL comparison available.</x:v>
      </x:c>
      <x:c r="G106" s="33" t="str">
        <x:v>Drawer không dùng phí giả 30k</x:v>
      </x:c>
      <x:c r="H106" s="33" t="str">
        <x:v>1) Chuẩn bị điều kiện: Vite customer UI; synthetic @example.test user; audit fixture and SQL comparison available. 2) Thực hiện scenario: Drawer không dùng phí giả 30k 3) Kiểm tra HTTP/UI/SQL/job side effects. 4) Đối chiếu với kết quả mong đợi và lưu evidence.</x:v>
      </x:c>
      <x:c r="I106" s="33" t="str">
        <x:v>Phí tính ở checkout, CTA không báo sai total</x:v>
      </x:c>
      <x:c r="J106" s="33" t="str">
        <x:v>Quan sát sau sửa: Tính khi thanh toán / Tiếp tục thanh toán</x:v>
      </x:c>
      <x:c r="K106" s="33" t="str">
        <x:v>PASS</x:v>
      </x:c>
      <x:c r="L106" s="33" t="str">
        <x:v>Manual smoke</x:v>
      </x:c>
      <x:c r="M106" s="33" t="str">
        <x:v>2026-09-09</x:v>
      </x:c>
      <x:c r="N106" s="33" t="str">
        <x:v>Historical audit / QA evidence</x:v>
      </x:c>
      <x:c r="O106" s="33" t="str">
        <x:v>AUDIT-2026-09-09.md; docs/audit/ui-database-results.json</x:v>
      </x:c>
      <x:c r="P106" s="33" t="str"/>
      <x:c r="Q106" s="33" t="str">
        <x:v>PASS theo bằng chứng lịch sử; không chạy lại trong lần tạo workbook này.</x:v>
      </x:c>
    </x:row>
    <x:row r="107" ht="72" customHeight="1">
      <x:c r="A107" s="33" t="str">
        <x:v>X01</x:v>
      </x:c>
      <x:c r="B107" s="33" t="str">
        <x:v>Payment / Gateway</x:v>
      </x:c>
      <x:c r="C107" s="33" t="str">
        <x:v>Coverage Gap</x:v>
      </x:c>
      <x:c r="D107" s="33" t="str">
        <x:v>P0</x:v>
      </x:c>
      <x:c r="E107" s="33" t="str">
        <x:v>Gateway SUCCESS nhưng callback timeout/browser đóng</x:v>
      </x:c>
      <x:c r="F107" s="33" t="str">
        <x:v>Feature/provider/sandbox is unavailable or intentionally not implemented.</x:v>
      </x:c>
      <x:c r="G107" s="33" t="str">
        <x:v>Gateway SUCCESS nhưng callback timeout/browser đóng</x:v>
      </x:c>
      <x:c r="H107" s="33" t="str">
        <x:v>1) Chuẩn bị điều kiện: Feature/provider/sandbox is unavailable or intentionally not implemented. 2) Thực hiện scenario: Gateway SUCCESS nhưng callback timeout/browser đóng 3) Kiểm tra HTTP/UI/SQL/job side effects. 4) Đối chiếu với kết quả mong đợi và lưu evidence.</x:v>
      </x:c>
      <x:c r="I107" s="33" t="str">
        <x:v>Provider retry/reconcile hồi phục đơn</x:v>
      </x:c>
      <x:c r="J107" s="33" t="str">
        <x:v>Không có provider/webhook adapter/sandbox</x:v>
      </x:c>
      <x:c r="K107" s="33" t="str">
        <x:v>NOT RUN</x:v>
      </x:c>
      <x:c r="L107" s="33" t="str">
        <x:v>Not available</x:v>
      </x:c>
      <x:c r="M107" s="33" t="str">
        <x:v>2026-09-09</x:v>
      </x:c>
      <x:c r="N107" s="33" t="str">
        <x:v>Historical audit / QA evidence</x:v>
      </x:c>
      <x:c r="O107" s="33" t="str">
        <x:v>AUDIT-2026-09-09.md (coverage gaps)</x:v>
      </x:c>
      <x:c r="P107" s="33" t="str">
        <x:v>BUG-028</x:v>
      </x:c>
      <x:c r="Q107" s="33" t="str">
        <x:v>Chưa có bằng chứng runtime đủ để kết luận PASS; giữ trạng thái minh bạch.</x:v>
      </x:c>
    </x:row>
    <x:row r="108" ht="72" customHeight="1">
      <x:c r="A108" s="33" t="str">
        <x:v>X02</x:v>
      </x:c>
      <x:c r="B108" s="33" t="str">
        <x:v>Payment / Gateway</x:v>
      </x:c>
      <x:c r="C108" s="33" t="str">
        <x:v>Coverage Gap</x:v>
      </x:c>
      <x:c r="D108" s="33" t="str">
        <x:v>P0</x:v>
      </x:c>
      <x:c r="E108" s="33" t="str">
        <x:v>Duplicate/out-of-order/late webhook, amount400k vs500k</x:v>
      </x:c>
      <x:c r="F108" s="33" t="str">
        <x:v>Feature/provider/sandbox is unavailable or intentionally not implemented.</x:v>
      </x:c>
      <x:c r="G108" s="33" t="str">
        <x:v>Duplicate/out-of-order/late webhook, amount400k vs500k</x:v>
      </x:c>
      <x:c r="H108" s="33" t="str">
        <x:v>1) Chuẩn bị điều kiện: Feature/provider/sandbox is unavailable or intentionally not implemented. 2) Thực hiện scenario: Duplicate/out-of-order/late webhook, amount400k vs500k 3) Kiểm tra HTTP/UI/SQL/job side effects. 4) Đối chiếu với kết quả mong đợi và lưu evidence.</x:v>
      </x:c>
      <x:c r="I108" s="33" t="str">
        <x:v>Verify signature/ref/currency/amount; xử lý đúng một lần</x:v>
      </x:c>
      <x:c r="J108" s="33" t="str">
        <x:v>B06 chỉ manual endpoint; không thay thế gateway test</x:v>
      </x:c>
      <x:c r="K108" s="33" t="str">
        <x:v>NOT RUN</x:v>
      </x:c>
      <x:c r="L108" s="33" t="str">
        <x:v>Not available</x:v>
      </x:c>
      <x:c r="M108" s="33" t="str">
        <x:v>2026-09-09</x:v>
      </x:c>
      <x:c r="N108" s="33" t="str">
        <x:v>Historical audit / QA evidence</x:v>
      </x:c>
      <x:c r="O108" s="33" t="str">
        <x:v>AUDIT-2026-09-09.md (coverage gaps)</x:v>
      </x:c>
      <x:c r="P108" s="33" t="str">
        <x:v>BUG-028</x:v>
      </x:c>
      <x:c r="Q108" s="33" t="str">
        <x:v>Chưa có bằng chứng runtime đủ để kết luận PASS; giữ trạng thái minh bạch.</x:v>
      </x:c>
    </x:row>
    <x:row r="109" ht="72" customHeight="1">
      <x:c r="A109" s="33" t="str">
        <x:v>X03</x:v>
      </x:c>
      <x:c r="B109" s="33" t="str">
        <x:v>Payment / Gateway</x:v>
      </x:c>
      <x:c r="C109" s="33" t="str">
        <x:v>Coverage Gap</x:v>
      </x:c>
      <x:c r="D109" s="33" t="str">
        <x:v>P1</x:v>
      </x:c>
      <x:c r="E109" s="33" t="str">
        <x:v>Provider refund fail/timeout/duplicate</x:v>
      </x:c>
      <x:c r="F109" s="33" t="str">
        <x:v>Feature/provider/sandbox is unavailable or intentionally not implemented.</x:v>
      </x:c>
      <x:c r="G109" s="33" t="str">
        <x:v>Provider refund fail/timeout/duplicate</x:v>
      </x:c>
      <x:c r="H109" s="33" t="str">
        <x:v>1) Chuẩn bị điều kiện: Feature/provider/sandbox is unavailable or intentionally not implemented. 2) Thực hiện scenario: Provider refund fail/timeout/duplicate 3) Kiểm tra HTTP/UI/SQL/job side effects. 4) Đối chiếu với kết quả mong đợi và lưu evidence.</x:v>
      </x:c>
      <x:c r="I109" s="33" t="str">
        <x:v>DB không báo refunded trước provider confirm</x:v>
      </x:c>
      <x:c r="J109" s="33" t="str">
        <x:v>Chưa có refund provider integration</x:v>
      </x:c>
      <x:c r="K109" s="33" t="str">
        <x:v>NOT RUN</x:v>
      </x:c>
      <x:c r="L109" s="33" t="str">
        <x:v>Not available</x:v>
      </x:c>
      <x:c r="M109" s="33" t="str">
        <x:v>2026-09-09</x:v>
      </x:c>
      <x:c r="N109" s="33" t="str">
        <x:v>Historical audit / QA evidence</x:v>
      </x:c>
      <x:c r="O109" s="33" t="str">
        <x:v>AUDIT-2026-09-09.md (coverage gaps)</x:v>
      </x:c>
      <x:c r="P109" s="33" t="str">
        <x:v>BUG-029</x:v>
      </x:c>
      <x:c r="Q109" s="33" t="str">
        <x:v>Chưa có bằng chứng runtime đủ để kết luận PASS; giữ trạng thái minh bạch.</x:v>
      </x:c>
    </x:row>
    <x:row r="110" ht="72" customHeight="1">
      <x:c r="A110" s="33" t="str">
        <x:v>X04</x:v>
      </x:c>
      <x:c r="B110" s="33" t="str">
        <x:v>Unimplemented Feature</x:v>
      </x:c>
      <x:c r="C110" s="33" t="str">
        <x:v>Coverage Gap</x:v>
      </x:c>
      <x:c r="D110" s="33" t="str">
        <x:v>P2</x:v>
      </x:c>
      <x:c r="E110" s="33" t="str">
        <x:v>Exchange A→B, combo A+B+C partial</x:v>
      </x:c>
      <x:c r="F110" s="33" t="str">
        <x:v>Feature/provider/sandbox is unavailable or intentionally not implemented.</x:v>
      </x:c>
      <x:c r="G110" s="33" t="str">
        <x:v>Exchange A→B, combo A+B+C partial</x:v>
      </x:c>
      <x:c r="H110" s="33" t="str">
        <x:v>1) Chuẩn bị điều kiện: Feature/provider/sandbox is unavailable or intentionally not implemented. 2) Thực hiện scenario: Exchange A→B, combo A+B+C partial 3) Kiểm tra HTTP/UI/SQL/job side effects. 4) Đối chiếu với kết quả mong đợi và lưu evidence.</x:v>
      </x:c>
      <x:c r="I110" s="33" t="str">
        <x:v>Giá trị net snapshot, chênh lệch/rounding đúng</x:v>
      </x:c>
      <x:c r="J110" s="33" t="str">
        <x:v>Không có module exchange/bundle</x:v>
      </x:c>
      <x:c r="K110" s="33" t="str">
        <x:v>NOT IMPLEMENTED</x:v>
      </x:c>
      <x:c r="L110" s="33" t="str">
        <x:v>Not available</x:v>
      </x:c>
      <x:c r="M110" s="33" t="str">
        <x:v>2026-09-09</x:v>
      </x:c>
      <x:c r="N110" s="33" t="str">
        <x:v>Historical audit / QA evidence</x:v>
      </x:c>
      <x:c r="O110" s="33" t="str">
        <x:v>AUDIT-2026-09-09.md (coverage gaps)</x:v>
      </x:c>
      <x:c r="P110" s="33" t="str">
        <x:v>Exchange/Bundle gap</x:v>
      </x:c>
      <x:c r="Q110" s="33" t="str">
        <x:v>Chưa có bằng chứng runtime đủ để kết luận PASS; giữ trạng thái minh bạch.</x:v>
      </x:c>
    </x:row>
    <x:row r="111" ht="72" customHeight="1">
      <x:c r="A111" s="33" t="str">
        <x:v>X05</x:v>
      </x:c>
      <x:c r="B111" s="33" t="str">
        <x:v>Shipping</x:v>
      </x:c>
      <x:c r="C111" s="33" t="str">
        <x:v>Coverage Gap</x:v>
      </x:c>
      <x:c r="D111" s="33" t="str">
        <x:v>P1</x:v>
      </x:c>
      <x:c r="E111" s="33" t="str">
        <x:v>Carrier failed attempts/COD reconciliation</x:v>
      </x:c>
      <x:c r="F111" s="33" t="str">
        <x:v>Feature/provider/sandbox is unavailable or intentionally not implemented.</x:v>
      </x:c>
      <x:c r="G111" s="33" t="str">
        <x:v>Carrier failed attempts/COD reconciliation</x:v>
      </x:c>
      <x:c r="H111" s="33" t="str">
        <x:v>1) Chuẩn bị điều kiện: Feature/provider/sandbox is unavailable or intentionally not implemented. 2) Thực hiện scenario: Carrier failed attempts/COD reconciliation 3) Kiểm tra HTTP/UI/SQL/job side effects. 4) Đối chiếu với kết quả mong đợi và lưu evidence.</x:v>
      </x:c>
      <x:c r="I111" s="33" t="str">
        <x:v>Theo dõi giao/thu tiền thực</x:v>
      </x:c>
      <x:c r="J111" s="33" t="str">
        <x:v>Chỉ manual simulation; carrier chưa nối</x:v>
      </x:c>
      <x:c r="K111" s="33" t="str">
        <x:v>NOT RUN</x:v>
      </x:c>
      <x:c r="L111" s="33" t="str">
        <x:v>Not available</x:v>
      </x:c>
      <x:c r="M111" s="33" t="str">
        <x:v>2026-09-09</x:v>
      </x:c>
      <x:c r="N111" s="33" t="str">
        <x:v>Historical audit / QA evidence</x:v>
      </x:c>
      <x:c r="O111" s="33" t="str">
        <x:v>AUDIT-2026-09-09.md (coverage gaps)</x:v>
      </x:c>
      <x:c r="P111" s="33" t="str">
        <x:v>Carrier/COD gap</x:v>
      </x:c>
      <x:c r="Q111" s="33" t="str">
        <x:v>Chưa có bằng chứng runtime đủ để kết luận PASS; giữ trạng thái minh bạch.</x:v>
      </x:c>
    </x:row>
    <x:row r="112" ht="72" customHeight="1">
      <x:c r="A112" s="33" t="str">
        <x:v>X06</x:v>
      </x:c>
      <x:c r="B112" s="33" t="str">
        <x:v>Notification</x:v>
      </x:c>
      <x:c r="C112" s="33" t="str">
        <x:v>Coverage Gap</x:v>
      </x:c>
      <x:c r="D112" s="33" t="str">
        <x:v>P2</x:v>
      </x:c>
      <x:c r="E112" s="33" t="str">
        <x:v>SMTP/evidence upload service, duplicate notification</x:v>
      </x:c>
      <x:c r="F112" s="33" t="str">
        <x:v>Feature/provider/sandbox is unavailable or intentionally not implemented.</x:v>
      </x:c>
      <x:c r="G112" s="33" t="str">
        <x:v>SMTP/evidence upload service, duplicate notification</x:v>
      </x:c>
      <x:c r="H112" s="33" t="str">
        <x:v>1) Chuẩn bị điều kiện: Feature/provider/sandbox is unavailable or intentionally not implemented. 2) Thực hiện scenario: SMTP/evidence upload service, duplicate notification 3) Kiểm tra HTTP/UI/SQL/job side effects. 4) Đối chiếu với kết quả mong đợi và lưu evidence.</x:v>
      </x:c>
      <x:c r="I112" s="33" t="str">
        <x:v>Không gửi trùng/mất event</x:v>
      </x:c>
      <x:c r="J112" s="33" t="str">
        <x:v>Không có credentials/service để test end-to-end</x:v>
      </x:c>
      <x:c r="K112" s="33" t="str">
        <x:v>NOT RUN</x:v>
      </x:c>
      <x:c r="L112" s="33" t="str">
        <x:v>Not available</x:v>
      </x:c>
      <x:c r="M112" s="33" t="str">
        <x:v>2026-09-09</x:v>
      </x:c>
      <x:c r="N112" s="33" t="str">
        <x:v>Historical audit / QA evidence</x:v>
      </x:c>
      <x:c r="O112" s="33" t="str">
        <x:v>AUDIT-2026-09-09.md (coverage gaps)</x:v>
      </x:c>
      <x:c r="P112" s="33" t="str">
        <x:v>Notification/Outbox gap</x:v>
      </x:c>
      <x:c r="Q112" s="33" t="str">
        <x:v>Chưa có bằng chứng runtime đủ để kết luận PASS; giữ trạng thái minh bạch.</x:v>
      </x:c>
    </x:row>
    <x:row r="113" ht="72" customHeight="1">
      <x:c r="A113" s="33" t="str">
        <x:v>X07</x:v>
      </x:c>
      <x:c r="B113" s="33" t="str">
        <x:v>Unimplemented Feature</x:v>
      </x:c>
      <x:c r="C113" s="33" t="str">
        <x:v>Coverage Gap</x:v>
      </x:c>
      <x:c r="D113" s="33" t="str">
        <x:v>P1</x:v>
      </x:c>
      <x:c r="E113" s="33" t="str">
        <x:v>Soak/performance và mọi browser/mobile</x:v>
      </x:c>
      <x:c r="F113" s="33" t="str">
        <x:v>Feature/provider/sandbox is unavailable or intentionally not implemented.</x:v>
      </x:c>
      <x:c r="G113" s="33" t="str">
        <x:v>Soak/performance và mọi browser/mobile</x:v>
      </x:c>
      <x:c r="H113" s="33" t="str">
        <x:v>1) Chuẩn bị điều kiện: Feature/provider/sandbox is unavailable or intentionally not implemented. 2) Thực hiện scenario: Soak/performance và mọi browser/mobile 3) Kiểm tra HTTP/UI/SQL/job side effects. 4) Đối chiếu với kết quả mong đợi và lưu evidence.</x:v>
      </x:c>
      <x:c r="I113" s="33" t="str">
        <x:v>Không deadlock/retry storm dài hạn</x:v>
      </x:c>
      <x:c r="J113" s="33" t="str">
        <x:v>Chỉ bounded concurrency và desktop smoke</x:v>
      </x:c>
      <x:c r="K113" s="33" t="str">
        <x:v>NOT RUN</x:v>
      </x:c>
      <x:c r="L113" s="33" t="str">
        <x:v>Not available</x:v>
      </x:c>
      <x:c r="M113" s="33" t="str">
        <x:v>2026-09-09</x:v>
      </x:c>
      <x:c r="N113" s="33" t="str">
        <x:v>Historical audit / QA evidence</x:v>
      </x:c>
      <x:c r="O113" s="33" t="str">
        <x:v>AUDIT-2026-09-09.md (coverage gaps)</x:v>
      </x:c>
      <x:c r="P113" s="33" t="str">
        <x:v>Soak/Mobile coverage gap</x:v>
      </x:c>
      <x:c r="Q113" s="33" t="str">
        <x:v>Chưa có bằng chứng runtime đủ để kết luận PASS; giữ trạng thái minh bạch.</x:v>
      </x:c>
    </x:row>
  </x:sheetData>
  <x:mergeCells>
    <x:mergeCell ref="A1:Q1"/>
    <x:mergeCell ref="A3:Q3"/>
  </x:mergeCells>
  <x:conditionalFormatting sqref="K8:K113">
    <x:cfRule type="containsText" dxfId="4" priority="1" operator="containsText" text="PASS"/>
    <x:cfRule type="containsText" dxfId="5" priority="2" operator="containsText" text="FAIL"/>
    <x:cfRule type="containsText" dxfId="6" priority="3" operator="containsText" text="NOT RUN"/>
    <x:cfRule type="containsText" dxfId="7" priority="4" operator="containsText" text="NOT IMPLEMENTED"/>
  </x:conditionalFormatting>
  <x:conditionalFormatting sqref="D8:D113">
    <x:cfRule type="containsText" dxfId="8" priority="5" operator="containsText" text="P0"/>
    <x:cfRule type="containsText" dxfId="9" priority="6" operator="containsText" text="P1"/>
  </x:conditionalFormatting>
  <x:dataValidations count="1">
    <x:dataValidation type="list" sqref="K8:K113">
      <x:formula1>"PASS,FAIL,NOT RUN,NOT IMPLEMENTED"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8595abc5b3460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43" hidden="0" customWidth="1"/>
    <x:col min="3" max="3" width="16" hidden="0" customWidth="1"/>
    <x:col min="4" max="4" width="30" hidden="0" customWidth="1"/>
    <x:col min="5" max="5" width="48" hidden="0" customWidth="1"/>
    <x:col min="6" max="6" width="10" hidden="0" customWidth="1"/>
    <x:col min="7" max="7" width="37" hidden="0" customWidth="1"/>
  </x:cols>
  <x:sheetData>
    <x:row r="1">
      <x:c r="A1" s="1" t="str">
        <x:v>ShoeGroup - Feature Coverage</x:v>
      </x:c>
      <x:c r="B1" s="1"/>
      <x:c r="C1" s="1"/>
      <x:c r="D1" s="1"/>
      <x:c r="E1" s="1"/>
      <x:c r="F1" s="1"/>
      <x:c r="G1" s="1"/>
    </x:row>
    <x:row r="2">
      <x:c r="A2" s="10"/>
      <x:c r="B2" s="10"/>
      <x:c r="C2" s="10"/>
      <x:c r="D2" s="10"/>
      <x:c r="E2" s="10"/>
      <x:c r="F2" s="10"/>
      <x:c r="G2" s="10"/>
    </x:row>
    <x:row r="3">
      <x:c r="A3" s="43" t="str">
        <x:v>34 feature được đối chiếu từ audit; Complete chỉ có nghĩa là phạm vi feature có evidence phù hợp, không phải production-ready toàn hệ thống.</x:v>
      </x:c>
      <x:c r="B3" s="43"/>
      <x:c r="C3" s="43"/>
      <x:c r="D3" s="43"/>
      <x:c r="E3" s="43"/>
      <x:c r="F3" s="43"/>
      <x:c r="G3" s="43"/>
    </x:row>
    <x:row r="4">
      <x:c r="A4" s="10"/>
      <x:c r="B4" s="10"/>
      <x:c r="C4" s="10"/>
      <x:c r="D4" s="10"/>
      <x:c r="E4" s="10"/>
      <x:c r="F4" s="10"/>
      <x:c r="G4" s="10"/>
    </x:row>
    <x:row r="5">
      <x:c r="A5" s="44" t="str">
        <x:v>Module</x:v>
      </x:c>
      <x:c r="B5" s="44" t="str">
        <x:v>Feature</x:v>
      </x:c>
      <x:c r="C5" s="44" t="str">
        <x:v>Feature Status</x:v>
      </x:c>
      <x:c r="D5" s="44" t="str">
        <x:v>Test Evidence</x:v>
      </x:c>
      <x:c r="E5" s="44" t="str">
        <x:v>Issue / Limitation</x:v>
      </x:c>
      <x:c r="F5" s="44" t="str">
        <x:v>Priority</x:v>
      </x:c>
      <x:c r="G5" s="44" t="str">
        <x:v>Coverage Note</x:v>
      </x:c>
    </x:row>
    <x:row r="6" ht="46" customHeight="1">
      <x:c r="A6" s="32" t="str">
        <x:v>Product</x:v>
      </x:c>
      <x:c r="B6" s="32" t="str">
        <x:v>Danh sách active, variant disabled/deleted</x:v>
      </x:c>
      <x:c r="C6" s="32" t="str">
        <x:v>Complete</x:v>
      </x:c>
      <x:c r="D6" s="32" t="str">
        <x:v>T05, T23, UI</x:v>
      </x:c>
      <x:c r="E6" s="32" t="str">
        <x:v>—</x:v>
      </x:c>
      <x:c r="F6" s="32" t="str">
        <x:v>P2</x:v>
      </x:c>
      <x:c r="G6" s="32" t="str">
        <x:v>Có evidence PASS trong phạm vi audit.</x:v>
      </x:c>
    </x:row>
    <x:row r="7" ht="46" customHeight="1">
      <x:c r="A7" s="33" t="str">
        <x:v>Product</x:v>
      </x:c>
      <x:c r="B7" s="33" t="str">
        <x:v>Snapshot UnitPrice/name/size/color/qty</x:v>
      </x:c>
      <x:c r="C7" s="33" t="str">
        <x:v>Complete</x:v>
      </x:c>
      <x:c r="D7" s="33" t="str">
        <x:v>T07</x:v>
      </x:c>
      <x:c r="E7" s="33" t="str">
        <x:v>Chưa có net unit/tax/discount allocation; xem Return</x:v>
      </x:c>
      <x:c r="F7" s="33" t="str">
        <x:v>P1</x:v>
      </x:c>
      <x:c r="G7" s="33" t="str">
        <x:v>Có evidence PASS trong phạm vi audit.</x:v>
      </x:c>
    </x:row>
    <x:row r="8" ht="46" customHeight="1">
      <x:c r="A8" s="33" t="str">
        <x:v>Product</x:v>
      </x:c>
      <x:c r="B8" s="33" t="str">
        <x:v>Xóa cứng bảo toàn lịch sử; ghi product atomic</x:v>
      </x:c>
      <x:c r="C8" s="33" t="str">
        <x:v>Complete</x:v>
      </x:c>
      <x:c r="D8" s="33" t="str">
        <x:v>T22, R11</x:v>
      </x:c>
      <x:c r="E8" s="33" t="str">
        <x:v>—</x:v>
      </x:c>
      <x:c r="F8" s="33" t="str">
        <x:v>P0</x:v>
      </x:c>
      <x:c r="G8" s="33" t="str">
        <x:v>Có evidence PASS trong phạm vi audit.</x:v>
      </x:c>
    </x:row>
    <x:row r="9" ht="46" customHeight="1">
      <x:c r="A9" s="33" t="str">
        <x:v>Cart</x:v>
      </x:c>
      <x:c r="B9" s="33" t="str">
        <x:v>Stale stock/price, đúng variant, không clamp âm thầm</x:v>
      </x:c>
      <x:c r="C9" s="33" t="str">
        <x:v>Complete</x:v>
      </x:c>
      <x:c r="D9" s="33" t="str">
        <x:v>Frontend + T01/T05</x:v>
      </x:c>
      <x:c r="E9" s="33" t="str">
        <x:v>—</x:v>
      </x:c>
      <x:c r="F9" s="33" t="str">
        <x:v>P1</x:v>
      </x:c>
      <x:c r="G9" s="33" t="str">
        <x:v>Có evidence PASS trong phạm vi audit.</x:v>
      </x:c>
    </x:row>
    <x:row r="10" ht="46" customHeight="1">
      <x:c r="A10" s="33" t="str">
        <x:v>Checkout</x:v>
      </x:c>
      <x:c r="B10" s="33" t="str">
        <x:v>Tổng tiền backend, chống tampering online/POS</x:v>
      </x:c>
      <x:c r="C10" s="33" t="str">
        <x:v>Complete</x:v>
      </x:c>
      <x:c r="D10" s="33" t="str">
        <x:v>T06, T20, B08</x:v>
      </x:c>
      <x:c r="E10" s="33" t="str">
        <x:v>—</x:v>
      </x:c>
      <x:c r="F10" s="33" t="str">
        <x:v>P0</x:v>
      </x:c>
      <x:c r="G10" s="33" t="str">
        <x:v>Có evidence PASS trong phạm vi audit.</x:v>
      </x:c>
    </x:row>
    <x:row r="11" ht="46" customHeight="1">
      <x:c r="A11" s="33" t="str">
        <x:v>Checkout</x:v>
      </x:c>
      <x:c r="B11" s="33" t="str">
        <x:v>Double-click/retry cùng checkout</x:v>
      </x:c>
      <x:c r="C11" s="33" t="str">
        <x:v>Partial</x:v>
      </x:c>
      <x:c r="D11" s="33" t="str">
        <x:v>T09–T11,J04,frontend</x:v>
      </x:c>
      <x:c r="E11" s="33" t="str">
        <x:v>Key còn optional cho client cũ; đổi payload sau timeout cần recovery intent</x:v>
      </x:c>
      <x:c r="F11" s="33" t="str">
        <x:v>P0</x:v>
      </x:c>
      <x:c r="G11" s="33" t="str">
        <x:v>Cần theo dõi gap/giới hạn nêu trong audit.</x:v>
      </x:c>
    </x:row>
    <x:row r="12" ht="46" customHeight="1">
      <x:c r="A12" s="33" t="str">
        <x:v>Inventory</x:v>
      </x:c>
      <x:c r="B12" s="33" t="str">
        <x:v>Atomic reserve/decrement, 2/5/10 user</x:v>
      </x:c>
      <x:c r="C12" s="33" t="str">
        <x:v>Complete</x:v>
      </x:c>
      <x:c r="D12" s="33" t="str">
        <x:v>T01–T08,B04</x:v>
      </x:c>
      <x:c r="E12" s="33" t="str">
        <x:v>Chưa load test dài hạn</x:v>
      </x:c>
      <x:c r="F12" s="33" t="str">
        <x:v>P0</x:v>
      </x:c>
      <x:c r="G12" s="33" t="str">
        <x:v>Có evidence PASS trong phạm vi audit.</x:v>
      </x:c>
    </x:row>
    <x:row r="13" ht="46" customHeight="1">
      <x:c r="A13" s="33" t="str">
        <x:v>Inventory</x:v>
      </x:c>
      <x:c r="B13" s="33" t="str">
        <x:v>Hold/expiration/release</x:v>
      </x:c>
      <x:c r="C13" s="33" t="str">
        <x:v>Partial</x:v>
      </x:c>
      <x:c r="D13" s="33" t="str">
        <x:v>B03,J01–J02,J05</x:v>
      </x:c>
      <x:c r="E13" s="33" t="str">
        <x:v>Implicit hold; job hourly; declared payment có thể giữ đến deadline7d</x:v>
      </x:c>
      <x:c r="F13" s="33" t="str">
        <x:v>P1</x:v>
      </x:c>
      <x:c r="G13" s="33" t="str">
        <x:v>Cần theo dõi gap/giới hạn nêu trong audit.</x:v>
      </x:c>
    </x:row>
    <x:row r="14" ht="46" customHeight="1">
      <x:c r="A14" s="33" t="str">
        <x:v>Inventory</x:v>
      </x:c>
      <x:c r="B14" s="33" t="str">
        <x:v>Optimistic version cho admin stock</x:v>
      </x:c>
      <x:c r="C14" s="33" t="str">
        <x:v>Complete</x:v>
      </x:c>
      <x:c r="D14" s="33" t="str">
        <x:v>B01–B02</x:v>
      </x:c>
      <x:c r="E14" s="33" t="str">
        <x:v>Client cũ cần gửi version khi sửa tồn</x:v>
      </x:c>
      <x:c r="F14" s="33" t="str">
        <x:v>P1</x:v>
      </x:c>
      <x:c r="G14" s="33" t="str">
        <x:v>Có evidence PASS trong phạm vi audit.</x:v>
      </x:c>
    </x:row>
    <x:row r="15" ht="46" customHeight="1">
      <x:c r="A15" s="33" t="str">
        <x:v>Inventory</x:v>
      </x:c>
      <x:c r="B15" s="33" t="str">
        <x:v>Inventory movement/quarantine ledger</x:v>
      </x:c>
      <x:c r="C15" s="33" t="str">
        <x:v>Missing</x:v>
      </x:c>
      <x:c r="D15" s="33" t="str">
        <x:v>CODE</x:v>
      </x:c>
      <x:c r="E15" s="33" t="str">
        <x:v>Chưa có ledger đủ để truy vết và đối soát</x:v>
      </x:c>
      <x:c r="F15" s="33" t="str">
        <x:v>P1</x:v>
      </x:c>
      <x:c r="G15" s="33" t="str">
        <x:v>Cần theo dõi gap/giới hạn nêu trong audit.</x:v>
      </x:c>
    </x:row>
    <x:row r="16" ht="46" customHeight="1">
      <x:c r="A16" s="33" t="str">
        <x:v>Order</x:v>
      </x:c>
      <x:c r="B16" s="33" t="str">
        <x:v>State machine, cancellation, ownership</x:v>
      </x:c>
      <x:c r="C16" s="33" t="str">
        <x:v>Partial</x:v>
      </x:c>
      <x:c r="D16" s="33" t="str">
        <x:v>T15–T19,B12,R09,UI</x:v>
      </x:c>
      <x:c r="E16" s="33" t="str">
        <x:v>Có map chuyển trạng thái; chưa tách payment/fulfillment đầy đủ, chưa test mọi alias</x:v>
      </x:c>
      <x:c r="F16" s="33" t="str">
        <x:v>P1</x:v>
      </x:c>
      <x:c r="G16" s="33" t="str">
        <x:v>Cần theo dõi gap/giới hạn nêu trong audit.</x:v>
      </x:c>
    </x:row>
    <x:row r="17" ht="46" customHeight="1">
      <x:c r="A17" s="33" t="str">
        <x:v>Order</x:v>
      </x:c>
      <x:c r="B17" s="33" t="str">
        <x:v>Sửa quantity sau xác nhận</x:v>
      </x:c>
      <x:c r="C17" s="33" t="str">
        <x:v>Missing</x:v>
      </x:c>
      <x:c r="D17" s="33" t="str">
        <x:v>CODE</x:v>
      </x:c>
      <x:c r="E17" s="33" t="str">
        <x:v>Không có flow reprice/reserve/refund difference</x:v>
      </x:c>
      <x:c r="F17" s="33" t="str">
        <x:v>P1</x:v>
      </x:c>
      <x:c r="G17" s="33" t="str">
        <x:v>Cần theo dõi gap/giới hạn nêu trong audit.</x:v>
      </x:c>
    </x:row>
    <x:row r="18" ht="46" customHeight="1">
      <x:c r="A18" s="33" t="str">
        <x:v>Payment</x:v>
      </x:c>
      <x:c r="B18" s="33" t="str">
        <x:v>Manual confirmation/COD/POS collection</x:v>
      </x:c>
      <x:c r="C18" s="33" t="str">
        <x:v>Partial</x:v>
      </x:c>
      <x:c r="D18" s="33" t="str">
        <x:v>T17–T20,B06,B10–B11</x:v>
      </x:c>
      <x:c r="E18" s="33" t="str">
        <x:v>Phụ thuộc đối chiếu người vận hành</x:v>
      </x:c>
      <x:c r="F18" s="33" t="str">
        <x:v>P0</x:v>
      </x:c>
      <x:c r="G18" s="33" t="str">
        <x:v>Cần theo dõi gap/giới hạn nêu trong audit.</x:v>
      </x:c>
    </x:row>
    <x:row r="19" ht="46" customHeight="1">
      <x:c r="A19" s="33" t="str">
        <x:v>Payment</x:v>
      </x:c>
      <x:c r="B19" s="33" t="str">
        <x:v>Gateway callback/webhook/reconciliation</x:v>
      </x:c>
      <x:c r="C19" s="33" t="str">
        <x:v>Missing</x:v>
      </x:c>
      <x:c r="D19" s="33" t="str">
        <x:v>CODE; NOT RUN</x:v>
      </x:c>
      <x:c r="E19" s="33" t="str">
        <x:v>BUG-028</x:v>
      </x:c>
      <x:c r="F19" s="33" t="str">
        <x:v>P0</x:v>
      </x:c>
      <x:c r="G19" s="33" t="str">
        <x:v>Cần theo dõi gap/giới hạn nêu trong audit.</x:v>
      </x:c>
    </x:row>
    <x:row r="20" ht="46" customHeight="1">
      <x:c r="A20" s="33" t="str">
        <x:v>Payment</x:v>
      </x:c>
      <x:c r="B20" s="33" t="str">
        <x:v>Refund bên ngoài, retry/failure/duplicate provider refund</x:v>
      </x:c>
      <x:c r="C20" s="33" t="str">
        <x:v>Missing</x:v>
      </x:c>
      <x:c r="D20" s="33" t="str">
        <x:v>CODE; NOT RUN</x:v>
      </x:c>
      <x:c r="E20" s="33" t="str">
        <x:v>BUG-029</x:v>
      </x:c>
      <x:c r="F20" s="33" t="str">
        <x:v>P0</x:v>
      </x:c>
      <x:c r="G20" s="33" t="str">
        <x:v>Cần theo dõi gap/giới hạn nêu trong audit.</x:v>
      </x:c>
    </x:row>
    <x:row r="21" ht="46" customHeight="1">
      <x:c r="A21" s="33" t="str">
        <x:v>Coupon</x:v>
      </x:c>
      <x:c r="B21" s="33" t="str">
        <x:v>Campaign limit/expiry/minimum/cap</x:v>
      </x:c>
      <x:c r="C21" s="33" t="str">
        <x:v>Complete</x:v>
      </x:c>
      <x:c r="D21" s="33" t="str">
        <x:v>T12,T14,B07–B08</x:v>
      </x:c>
      <x:c r="E21" s="33" t="str">
        <x:v>Boundary end hiện bao gồm timestamp end</x:v>
      </x:c>
      <x:c r="F21" s="33" t="str">
        <x:v>P1</x:v>
      </x:c>
      <x:c r="G21" s="33" t="str">
        <x:v>Có evidence PASS trong phạm vi audit.</x:v>
      </x:c>
    </x:row>
    <x:row r="22" ht="46" customHeight="1">
      <x:c r="A22" s="33" t="str">
        <x:v>Coupon</x:v>
      </x:c>
      <x:c r="B22" s="33" t="str">
        <x:v>Per-user concurrent redemption</x:v>
      </x:c>
      <x:c r="C22" s="33" t="str">
        <x:v>Partial</x:v>
      </x:c>
      <x:c r="D22" s="33" t="str">
        <x:v>T13,B05</x:v>
      </x:c>
      <x:c r="E22" s="33" t="str">
        <x:v>Đơn cũ không có ledger để backfill; phone/email/multi-account chưa giới hạn</x:v>
      </x:c>
      <x:c r="F22" s="33" t="str">
        <x:v>P1</x:v>
      </x:c>
      <x:c r="G22" s="33" t="str">
        <x:v>Cần theo dõi gap/giới hạn nêu trong audit.</x:v>
      </x:c>
    </x:row>
    <x:row r="23" ht="46" customHeight="1">
      <x:c r="A23" s="33" t="str">
        <x:v>Coupon</x:v>
      </x:c>
      <x:c r="B23" s="33" t="str">
        <x:v>Restore sau cancel/expiry/private voucher</x:v>
      </x:c>
      <x:c r="C23" s="33" t="str">
        <x:v>Missing</x:v>
      </x:c>
      <x:c r="D23" s="33" t="str">
        <x:v>CODE</x:v>
      </x:c>
      <x:c r="E23" s="33" t="str">
        <x:v>Hiện giữ consumed; cần BR rõ ràng</x:v>
      </x:c>
      <x:c r="F23" s="33" t="str">
        <x:v>P1</x:v>
      </x:c>
      <x:c r="G23" s="33" t="str">
        <x:v>Cần theo dõi gap/giới hạn nêu trong audit.</x:v>
      </x:c>
    </x:row>
    <x:row r="24" ht="46" customHeight="1">
      <x:c r="A24" s="33" t="str">
        <x:v>Promotion</x:v>
      </x:c>
      <x:c r="B24" s="33" t="str">
        <x:v>SalePrice khóa khi tạo order</x:v>
      </x:c>
      <x:c r="C24" s="33" t="str">
        <x:v>Complete</x:v>
      </x:c>
      <x:c r="D24" s="33" t="str">
        <x:v>T07</x:v>
      </x:c>
      <x:c r="E24" s="33" t="str">
        <x:v>Giỏ có giá mới; không tự đổi giá order khi pay</x:v>
      </x:c>
      <x:c r="F24" s="33" t="str">
        <x:v>P1</x:v>
      </x:c>
      <x:c r="G24" s="33" t="str">
        <x:v>Có evidence PASS trong phạm vi audit.</x:v>
      </x:c>
    </x:row>
    <x:row r="25" ht="46" customHeight="1">
      <x:c r="A25" s="33" t="str">
        <x:v>Promotion</x:v>
      </x:c>
      <x:c r="B25" s="33" t="str">
        <x:v>Scheduled discount theo variant/quota</x:v>
      </x:c>
      <x:c r="C25" s="33" t="str">
        <x:v>Broken</x:v>
      </x:c>
      <x:c r="D25" s="33" t="str">
        <x:v>G01 FAIL</x:v>
      </x:c>
      <x:c r="E25" s="33" t="str">
        <x:v>BUG-031</x:v>
      </x:c>
      <x:c r="F25" s="33" t="str">
        <x:v>P1</x:v>
      </x:c>
      <x:c r="G25" s="33" t="str">
        <x:v>Cần theo dõi gap/giới hạn nêu trong audit.</x:v>
      </x:c>
    </x:row>
    <x:row r="26" ht="46" customHeight="1">
      <x:c r="A26" s="33" t="str">
        <x:v>Return</x:v>
      </x:c>
      <x:c r="B26" s="33" t="str">
        <x:v>Yêu cầu/lý do/evidence/admin approve/reject/window</x:v>
      </x:c>
      <x:c r="C26" s="33" t="str">
        <x:v>Partial</x:v>
      </x:c>
      <x:c r="D26" s="33" t="str">
        <x:v>R01,R04,R07–R08</x:v>
      </x:c>
      <x:c r="E26" s="33" t="str">
        <x:v>Có evidence URL; chưa test upload/media service; admin inspection bắt buộc</x:v>
      </x:c>
      <x:c r="F26" s="33" t="str">
        <x:v>P1</x:v>
      </x:c>
      <x:c r="G26" s="33" t="str">
        <x:v>Cần theo dõi gap/giới hạn nêu trong audit.</x:v>
      </x:c>
    </x:row>
    <x:row r="27" ht="46" customHeight="1">
      <x:c r="A27" s="33" t="str">
        <x:v>Return</x:v>
      </x:c>
      <x:c r="B27" s="33" t="str">
        <x:v>Partial item/quantity không có order discount</x:v>
      </x:c>
      <x:c r="C27" s="33" t="str">
        <x:v>Complete</x:v>
      </x:c>
      <x:c r="D27" s="33" t="str">
        <x:v>R03,R05–R07</x:v>
      </x:c>
      <x:c r="E27" s="33" t="str">
        <x:v>Hoàn vào ví nội bộ; không phải ngân hàng</x:v>
      </x:c>
      <x:c r="F27" s="33" t="str">
        <x:v>P1</x:v>
      </x:c>
      <x:c r="G27" s="33" t="str">
        <x:v>Có evidence PASS trong phạm vi audit.</x:v>
      </x:c>
    </x:row>
    <x:row r="28" ht="46" customHeight="1">
      <x:c r="A28" s="33" t="str">
        <x:v>Return</x:v>
      </x:c>
      <x:c r="B28" s="33" t="str">
        <x:v>Partial discount/shipping/tax allocation</x:v>
      </x:c>
      <x:c r="C28" s="33" t="str">
        <x:v>Partial</x:v>
      </x:c>
      <x:c r="D28" s="33" t="str">
        <x:v>R02 guard PASS</x:v>
      </x:c>
      <x:c r="E28" s="33" t="str">
        <x:v>Feature bị chặn có chủ đích; BUG-032</x:v>
      </x:c>
      <x:c r="F28" s="33" t="str">
        <x:v>P1</x:v>
      </x:c>
      <x:c r="G28" s="33" t="str">
        <x:v>Cần theo dõi gap/giới hạn nêu trong audit.</x:v>
      </x:c>
    </x:row>
    <x:row r="29" ht="46" customHeight="1">
      <x:c r="A29" s="33" t="str">
        <x:v>Exchange</x:v>
      </x:c>
      <x:c r="B29" s="33" t="str">
        <x:v>Replacement/đổi A→B/chênh lệch giá</x:v>
      </x:c>
      <x:c r="C29" s="33" t="str">
        <x:v>Missing</x:v>
      </x:c>
      <x:c r="D29" s="33" t="str">
        <x:v>CODE</x:v>
      </x:c>
      <x:c r="E29" s="33" t="str">
        <x:v>Không có workflow giá trị thực trả + thu/hoàn chênh</x:v>
      </x:c>
      <x:c r="F29" s="33" t="str">
        <x:v>P1</x:v>
      </x:c>
      <x:c r="G29" s="33" t="str">
        <x:v>Cần theo dõi gap/giới hạn nêu trong audit.</x:v>
      </x:c>
    </x:row>
    <x:row r="30" ht="46" customHeight="1">
      <x:c r="A30" s="33" t="str">
        <x:v>Bundle</x:v>
      </x:c>
      <x:c r="B30" s="33" t="str">
        <x:v>Combo composition/partial return</x:v>
      </x:c>
      <x:c r="C30" s="33" t="str">
        <x:v>Missing</x:v>
      </x:c>
      <x:c r="D30" s="33" t="str">
        <x:v>CODE</x:v>
      </x:c>
      <x:c r="E30" s="33" t="str">
        <x:v>Không có model composition/allocation; không coi nhiều cart item là bundle</x:v>
      </x:c>
      <x:c r="F30" s="33" t="str">
        <x:v>P1</x:v>
      </x:c>
      <x:c r="G30" s="33" t="str">
        <x:v>Cần theo dõi gap/giới hạn nêu trong audit.</x:v>
      </x:c>
    </x:row>
    <x:row r="31" ht="46" customHeight="1">
      <x:c r="A31" s="33" t="str">
        <x:v>Shipping</x:v>
      </x:c>
      <x:c r="B31" s="33" t="str">
        <x:v>Quote từ server, đổi địa chỉ</x:v>
      </x:c>
      <x:c r="C31" s="33" t="str">
        <x:v>Partial</x:v>
      </x:c>
      <x:c r="D31" s="33" t="str">
        <x:v>T06,UI,G02 FAIL</x:v>
      </x:c>
      <x:c r="E31" s="33" t="str">
        <x:v>BUG-033; origin/rate hardcode chưa đồng nhất ShippingMethods</x:v>
      </x:c>
      <x:c r="F31" s="33" t="str">
        <x:v>P1</x:v>
      </x:c>
      <x:c r="G31" s="33" t="str">
        <x:v>Cần theo dõi gap/giới hạn nêu trong audit.</x:v>
      </x:c>
    </x:row>
    <x:row r="32" ht="46" customHeight="1">
      <x:c r="A32" s="33" t="str">
        <x:v>Shipping</x:v>
      </x:c>
      <x:c r="B32" s="33" t="str">
        <x:v>Failed delivery/warehouse/reship/lost</x:v>
      </x:c>
      <x:c r="C32" s="33" t="str">
        <x:v>Partial</x:v>
      </x:c>
      <x:c r="D32" s="33" t="str">
        <x:v>R09</x:v>
      </x:c>
      <x:c r="E32" s="33" t="str">
        <x:v>Manual; chưa carrier/COD settlement/attempt counter/quy tắc phí</x:v>
      </x:c>
      <x:c r="F32" s="33" t="str">
        <x:v>P1</x:v>
      </x:c>
      <x:c r="G32" s="33" t="str">
        <x:v>Cần theo dõi gap/giới hạn nêu trong audit.</x:v>
      </x:c>
    </x:row>
    <x:row r="33" ht="46" customHeight="1">
      <x:c r="A33" s="33" t="str">
        <x:v>Revenue</x:v>
      </x:c>
      <x:c r="B33" s="33" t="str">
        <x:v>Dashboard net theo received+14d+paid</x:v>
      </x:c>
      <x:c r="C33" s="33" t="str">
        <x:v>Partial</x:v>
      </x:c>
      <x:c r="D33" s="33" t="str">
        <x:v>R10,J03,frontend</x:v>
      </x:c>
      <x:c r="E33" s="33" t="str">
        <x:v>Đã sửa query; cần chốt recognition/period/shipping sau full return</x:v>
      </x:c>
      <x:c r="F33" s="33" t="str">
        <x:v>P0</x:v>
      </x:c>
      <x:c r="G33" s="33" t="str">
        <x:v>Cần theo dõi gap/giới hạn nêu trong audit.</x:v>
      </x:c>
    </x:row>
    <x:row r="34" ht="46" customHeight="1">
      <x:c r="A34" s="33" t="str">
        <x:v>Auth</x:v>
      </x:c>
      <x:c r="B34" s="33" t="str">
        <x:v>Authentication/ownership/admin enforcement</x:v>
      </x:c>
      <x:c r="C34" s="33" t="str">
        <x:v>Complete</x:v>
      </x:c>
      <x:c r="D34" s="33" t="str">
        <x:v>T16,R12,B09</x:v>
      </x:c>
      <x:c r="E34" s="33" t="str">
        <x:v>Các endpoint trọng yếu đã runtime; không thay thế pentest</x:v>
      </x:c>
      <x:c r="F34" s="33" t="str">
        <x:v>P0</x:v>
      </x:c>
      <x:c r="G34" s="33" t="str">
        <x:v>Có evidence PASS trong phạm vi audit.</x:v>
      </x:c>
    </x:row>
    <x:row r="35" ht="46" customHeight="1">
      <x:c r="A35" s="33" t="str">
        <x:v>Auth</x:v>
      </x:c>
      <x:c r="B35" s="33" t="str">
        <x:v>Session recovery/revocation/reset email</x:v>
      </x:c>
      <x:c r="C35" s="33" t="str">
        <x:v>Partial</x:v>
      </x:c>
      <x:c r="D35" s="33" t="str">
        <x:v>Unit/CODE</x:v>
      </x:c>
      <x:c r="E35" s="33" t="str">
        <x:v>Reset password chưa revoke toàn bộ JWT; email sandbox chưa cấu hình</x:v>
      </x:c>
      <x:c r="F35" s="33" t="str">
        <x:v>P1</x:v>
      </x:c>
      <x:c r="G35" s="33" t="str">
        <x:v>Cần theo dõi gap/giới hạn nêu trong audit.</x:v>
      </x:c>
    </x:row>
    <x:row r="36" ht="46" customHeight="1">
      <x:c r="A36" s="33" t="str">
        <x:v>Admin</x:v>
      </x:c>
      <x:c r="B36" s="33" t="str">
        <x:v>Validation/audit action</x:v>
      </x:c>
      <x:c r="C36" s="33" t="str">
        <x:v>Partial</x:v>
      </x:c>
      <x:c r="D36" s="33" t="str">
        <x:v>B01–B02,T18,T22</x:v>
      </x:c>
      <x:c r="E36" s="33" t="str">
        <x:v>Có order history; chưa đầy đủ stock/product/payment actor audit</x:v>
      </x:c>
      <x:c r="F36" s="33" t="str">
        <x:v>P1</x:v>
      </x:c>
      <x:c r="G36" s="33" t="str">
        <x:v>Cần theo dõi gap/giới hạn nêu trong audit.</x:v>
      </x:c>
    </x:row>
    <x:row r="37" ht="46" customHeight="1">
      <x:c r="A37" s="33" t="str">
        <x:v>Wallet</x:v>
      </x:c>
      <x:c r="B37" s="33" t="str">
        <x:v>Credit refund, withdrawal</x:v>
      </x:c>
      <x:c r="C37" s="33" t="str">
        <x:v>Broken</x:v>
      </x:c>
      <x:c r="D37" s="33" t="str">
        <x:v>R03/R05 PASS,G03/G04 FAIL</x:v>
      </x:c>
      <x:c r="E37" s="33" t="str">
        <x:v>Credit atomic; payout missing và raw PAN</x:v>
      </x:c>
      <x:c r="F37" s="33" t="str">
        <x:v>P0</x:v>
      </x:c>
      <x:c r="G37" s="33" t="str">
        <x:v>Cần theo dõi gap/giới hạn nêu trong audit.</x:v>
      </x:c>
    </x:row>
    <x:row r="38" ht="46" customHeight="1">
      <x:c r="A38" s="33" t="str">
        <x:v>Database</x:v>
      </x:c>
      <x:c r="B38" s="33" t="str">
        <x:v>FK/decimal/check/unique/rollback</x:v>
      </x:c>
      <x:c r="C38" s="33" t="str">
        <x:v>Partial</x:v>
      </x:c>
      <x:c r="D38" s="33" t="str">
        <x:v>T24,R06,R14,B05</x:v>
      </x:c>
      <x:c r="E38" s="33" t="str">
        <x:v>Migration kiểm thử trong audit DB, chưa áp dụng DB gốc; dữ liệu lịch sử cần kiểm tra</x:v>
      </x:c>
      <x:c r="F38" s="33" t="str">
        <x:v>P1</x:v>
      </x:c>
      <x:c r="G38" s="33" t="str">
        <x:v>Cần theo dõi gap/giới hạn nêu trong audit.</x:v>
      </x:c>
    </x:row>
    <x:row r="39" ht="46" customHeight="1">
      <x:c r="A39" s="33" t="str">
        <x:v>Notification</x:v>
      </x:c>
      <x:c r="B39" s="33" t="str">
        <x:v>Email/notification/outbox</x:v>
      </x:c>
      <x:c r="C39" s="33" t="str">
        <x:v>Partial</x:v>
      </x:c>
      <x:c r="D39" s="33" t="str">
        <x:v>CODE; NOT RUN SMTP</x:v>
      </x:c>
      <x:c r="E39" s="33" t="str">
        <x:v>Không có transactional outbox, chưa xác minh exactly-once notification</x:v>
      </x:c>
      <x:c r="F39" s="33" t="str">
        <x:v>P2</x:v>
      </x:c>
      <x:c r="G39" s="33" t="str">
        <x:v>Cần theo dõi gap/giới hạn nêu trong audit.</x:v>
      </x:c>
    </x:row>
  </x:sheetData>
  <x:mergeCells>
    <x:mergeCell ref="A1:G1"/>
    <x:mergeCell ref="A3:G3"/>
  </x:mergeCells>
  <x:conditionalFormatting sqref="C6:C39">
    <x:cfRule type="containsText" dxfId="10" priority="1" operator="containsText" text="Complete"/>
    <x:cfRule type="containsText" dxfId="11" priority="2" operator="containsText" text="Partial"/>
    <x:cfRule type="containsText" dxfId="12" priority="3" operator="containsText" text="Missing"/>
    <x:cfRule type="containsText" dxfId="13" priority="4" operator="containsText" text="Broken"/>
  </x:conditionalFormatting>
  <x:pageMargins left="0.7" right="0.7" top="0.75" bottom="0.75" header="0.3" footer="0.3"/>
  <x:tableParts count="1">
    <x:tablePart xmlns:r="http://schemas.openxmlformats.org/officeDocument/2006/relationships" r:id="R8e8f1410aa28460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46" hidden="0" customWidth="1"/>
    <x:col min="4" max="4" width="22" hidden="0" customWidth="1"/>
    <x:col min="5" max="5" width="45" hidden="0" customWidth="1"/>
    <x:col min="6" max="6" width="10" hidden="0" customWidth="1"/>
    <x:col min="7" max="7" width="55" hidden="0" customWidth="1"/>
    <x:col min="8" max="8" width="24" hidden="0" customWidth="1"/>
  </x:cols>
  <x:sheetData>
    <x:row r="1">
      <x:c r="A1" s="1" t="str">
        <x:v>ShoeGroup - Defects &amp; Coverage Gaps</x:v>
      </x:c>
      <x:c r="B1" s="1"/>
      <x:c r="C1" s="1"/>
      <x:c r="D1" s="1"/>
      <x:c r="E1" s="1"/>
      <x:c r="F1" s="1"/>
      <x:c r="G1" s="1"/>
      <x:c r="H1" s="1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43" t="str">
        <x:v>Các dòng dưới đây không bị chuyển thành PASS. Đây là các vấn đề còn mở, ca chưa chạy hoặc feature chưa triển khai được nêu trong audit.</x:v>
      </x:c>
      <x:c r="B3" s="43"/>
      <x:c r="C3" s="43"/>
      <x:c r="D3" s="43"/>
      <x:c r="E3" s="43"/>
      <x:c r="F3" s="43"/>
      <x:c r="G3" s="43"/>
      <x:c r="H3" s="43"/>
    </x:row>
    <x:row r="4">
      <x:c r="A4" s="10"/>
      <x:c r="B4" s="10"/>
      <x:c r="C4" s="10"/>
      <x:c r="D4" s="10"/>
      <x:c r="E4" s="10"/>
      <x:c r="F4" s="10"/>
      <x:c r="G4" s="10"/>
      <x:c r="H4" s="10"/>
    </x:row>
    <x:row r="5">
      <x:c r="A5" s="44" t="str">
        <x:v>Ref</x:v>
      </x:c>
      <x:c r="B5" s="44" t="str">
        <x:v>Module</x:v>
      </x:c>
      <x:c r="C5" s="44" t="str">
        <x:v>Issue / Gap</x:v>
      </x:c>
      <x:c r="D5" s="44" t="str">
        <x:v>Current Status</x:v>
      </x:c>
      <x:c r="E5" s="44" t="str">
        <x:v>Evidence</x:v>
      </x:c>
      <x:c r="F5" s="44" t="str">
        <x:v>Priority</x:v>
      </x:c>
      <x:c r="G5" s="44" t="str">
        <x:v>Recommended Action</x:v>
      </x:c>
      <x:c r="H5" s="44" t="str">
        <x:v>Owner</x:v>
      </x:c>
    </x:row>
    <x:row r="6" ht="62" customHeight="1">
      <x:c r="A6" s="32" t="str">
        <x:v>BUG-028</x:v>
      </x:c>
      <x:c r="B6" s="32" t="str">
        <x:v>Payment / Gateway</x:v>
      </x:c>
      <x:c r="C6" s="32" t="str">
        <x:v>Gateway success, webhook, reconciliation và callback retry chưa có</x:v>
      </x:c>
      <x:c r="D6" s="32" t="str">
        <x:v>OPEN / NOT RUN</x:v>
      </x:c>
      <x:c r="E6" s="32" t="str">
        <x:v>X01-X02; không có provider sandbox/webhook adapter</x:v>
      </x:c>
      <x:c r="F6" s="32" t="str">
        <x:v>P0</x:v>
      </x:c>
      <x:c r="G6" s="32" t="str">
        <x:v>Tích hợp sandbox, verify signature/ref/amount/currency và exactly-once reconciliation.</x:v>
      </x:c>
      <x:c r="H6" s="32" t="str">
        <x:v>Backend + Payment owner</x:v>
      </x:c>
    </x:row>
    <x:row r="7" ht="62" customHeight="1">
      <x:c r="A7" s="33" t="str">
        <x:v>BUG-029</x:v>
      </x:c>
      <x:c r="B7" s="33" t="str">
        <x:v>Refund / Wallet</x:v>
      </x:c>
      <x:c r="C7" s="33" t="str">
        <x:v>Refund bên ngoài và payout withdrawal chưa có executor</x:v>
      </x:c>
      <x:c r="D7" s="33" t="str">
        <x:v>OPEN / NOT RUN</x:v>
      </x:c>
      <x:c r="E7" s="33" t="str">
        <x:v>G03; X03; endpoint còn trả pending trước payout</x:v>
      </x:c>
      <x:c r="F7" s="33" t="str">
        <x:v>P0</x:v>
      </x:c>
      <x:c r="G7" s="33" t="str">
        <x:v>Không hold balance trước khi có executor; thêm provider state machine và recovery.</x:v>
      </x:c>
      <x:c r="H7" s="33" t="str">
        <x:v>Backend + Finance owner</x:v>
      </x:c>
    </x:row>
    <x:row r="8" ht="62" customHeight="1">
      <x:c r="A8" s="33" t="str">
        <x:v>BUG-030</x:v>
      </x:c>
      <x:c r="B8" s="33" t="str">
        <x:v>Wallet / Security</x:v>
      </x:c>
      <x:c r="C8" s="33" t="str">
        <x:v>Synthetic Visa PAN bị lưu nguyên văn trong Destination</x:v>
      </x:c>
      <x:c r="D8" s="33" t="str">
        <x:v>FAIL</x:v>
      </x:c>
      <x:c r="E8" s="33" t="str">
        <x:v>G04; raw PAN persisted</x:v>
      </x:c>
      <x:c r="F8" s="33" t="str">
        <x:v>P0</x:v>
      </x:c>
      <x:c r="G8" s="33" t="str">
        <x:v>Chỉ lưu provider token + last4; migration và secret review.</x:v>
      </x:c>
      <x:c r="H8" s="33" t="str">
        <x:v>Backend + Security owner</x:v>
      </x:c>
    </x:row>
    <x:row r="9" ht="62" customHeight="1">
      <x:c r="A9" s="33" t="str">
        <x:v>BUG-031</x:v>
      </x:c>
      <x:c r="B9" s="33" t="str">
        <x:v>Promotion</x:v>
      </x:c>
      <x:c r="C9" s="33" t="str">
        <x:v>VariantDiscounts CRUD chưa nối vào pricing checkout</x:v>
      </x:c>
      <x:c r="D9" s="33" t="str">
        <x:v>FAIL</x:v>
      </x:c>
      <x:c r="E9" s="33" t="str">
        <x:v>G01; promotion 10% nhưng order vẫn 500000</x:v>
      </x:c>
      <x:c r="F9" s="33" t="str">
        <x:v>P1</x:v>
      </x:c>
      <x:c r="G9" s="33" t="str">
        <x:v>Chốt rule SalePrice/PriceAdjustment/quota rồi nối pricing snapshot.</x:v>
      </x:c>
      <x:c r="H9" s="33" t="str">
        <x:v>Product + Backend owner</x:v>
      </x:c>
    </x:row>
    <x:row r="10" ht="62" customHeight="1">
      <x:c r="A10" s="33" t="str">
        <x:v>BUG-032</x:v>
      </x:c>
      <x:c r="B10" s="33" t="str">
        <x:v>Return</x:v>
      </x:c>
      <x:c r="C10" s="33" t="str">
        <x:v>Chưa có allocation cho partial refund đơn giảm giá/combo</x:v>
      </x:c>
      <x:c r="D10" s="33" t="str">
        <x:v>GUARD PASS / OPEN</x:v>
      </x:c>
      <x:c r="E10" s="33" t="str">
        <x:v>R02 trả 409 BUSINESS RULE REQUIRED</x:v>
      </x:c>
      <x:c r="F10" s="33" t="str">
        <x:v>P1</x:v>
      </x:c>
      <x:c r="G10" s="33" t="str">
        <x:v>Lưu net unit/discount/tax/bundle provenance trước khi hoàn.</x:v>
      </x:c>
      <x:c r="H10" s="33" t="str">
        <x:v>Product + Finance owner</x:v>
      </x:c>
    </x:row>
    <x:row r="11" ht="62" customHeight="1">
      <x:c r="A11" s="33" t="str">
        <x:v>BUG-033</x:v>
      </x:c>
      <x:c r="B11" s="33" t="str">
        <x:v>Shipping</x:v>
      </x:c>
      <x:c r="C11" s="33" t="str">
        <x:v>Đổi địa chỉ không requote cước</x:v>
      </x:c>
      <x:c r="D11" s="33" t="str">
        <x:v>FAIL</x:v>
      </x:c>
      <x:c r="E11" s="33" t="str">
        <x:v>G02; phí cũ 75000 giữ lại trong khi quote mới 30000</x:v>
      </x:c>
      <x:c r="F11" s="33" t="str">
        <x:v>P1</x:v>
      </x:c>
      <x:c r="G11" s="33" t="str">
        <x:v>Chốt policy unpaid/paid và tính lại/thu thêm/hoàn chênh hoặc chặn đổi.</x:v>
      </x:c>
      <x:c r="H11" s="33" t="str">
        <x:v>Shipping + Order owner</x:v>
      </x:c>
    </x:row>
    <x:row r="12" ht="62" customHeight="1">
      <x:c r="A12" s="33" t="str">
        <x:v>X04</x:v>
      </x:c>
      <x:c r="B12" s="33" t="str">
        <x:v>Exchange / Bundle</x:v>
      </x:c>
      <x:c r="C12" s="33" t="str">
        <x:v>Exchange A→B và combo partial return chưa có workflow</x:v>
      </x:c>
      <x:c r="D12" s="33" t="str">
        <x:v>NOT IMPLEMENTED</x:v>
      </x:c>
      <x:c r="E12" s="33" t="str">
        <x:v>AUDIT-2026-09-09.md; không có module</x:v>
      </x:c>
      <x:c r="F12" s="33" t="str">
        <x:v>P1</x:v>
      </x:c>
      <x:c r="G12" s="33" t="str">
        <x:v>Thiết kế snapshot value, allocation và chênh lệch trước khi triển khai.</x:v>
      </x:c>
      <x:c r="H12" s="33" t="str">
        <x:v>Product owner</x:v>
      </x:c>
    </x:row>
    <x:row r="13" ht="62" customHeight="1">
      <x:c r="A13" s="33" t="str">
        <x:v>X05</x:v>
      </x:c>
      <x:c r="B13" s="33" t="str">
        <x:v>Shipping / Carrier</x:v>
      </x:c>
      <x:c r="C13" s="33" t="str">
        <x:v>Carrier failed attempts, COD settlement và tracking chưa nối</x:v>
      </x:c>
      <x:c r="D13" s="33" t="str">
        <x:v>NOT RUN</x:v>
      </x:c>
      <x:c r="E13" s="33" t="str">
        <x:v>Không có carrier integration</x:v>
      </x:c>
      <x:c r="F13" s="33" t="str">
        <x:v>P1</x:v>
      </x:c>
      <x:c r="G13" s="33" t="str">
        <x:v>Tích hợp sandbox carrier và reconciliation COD.</x:v>
      </x:c>
      <x:c r="H13" s="33" t="str">
        <x:v>Shipping owner</x:v>
      </x:c>
    </x:row>
    <x:row r="14" ht="62" customHeight="1">
      <x:c r="A14" s="33" t="str">
        <x:v>X06</x:v>
      </x:c>
      <x:c r="B14" s="33" t="str">
        <x:v>Notification</x:v>
      </x:c>
      <x:c r="C14" s="33" t="str">
        <x:v>SMTP/evidence upload/outbox exactly-once chưa được xác minh</x:v>
      </x:c>
      <x:c r="D14" s="33" t="str">
        <x:v>NOT RUN</x:v>
      </x:c>
      <x:c r="E14" s="33" t="str">
        <x:v>Không có credentials/service</x:v>
      </x:c>
      <x:c r="F14" s="33" t="str">
        <x:v>P2</x:v>
      </x:c>
      <x:c r="G14" s="33" t="str">
        <x:v>Thêm transactional outbox, retry, dedupe và sandbox email.</x:v>
      </x:c>
      <x:c r="H14" s="33" t="str">
        <x:v>Platform owner</x:v>
      </x:c>
    </x:row>
    <x:row r="15" ht="62" customHeight="1">
      <x:c r="A15" s="33" t="str">
        <x:v>X07</x:v>
      </x:c>
      <x:c r="B15" s="33" t="str">
        <x:v>Performance / Compatibility</x:v>
      </x:c>
      <x:c r="C15" s="33" t="str">
        <x:v>Chưa soak test dài hạn hoặc kiểm thử toàn bộ browser/mobile</x:v>
      </x:c>
      <x:c r="D15" s="33" t="str">
        <x:v>NOT RUN</x:v>
      </x:c>
      <x:c r="E15" s="33" t="str">
        <x:v>Chỉ bounded concurrency + desktop smoke</x:v>
      </x:c>
      <x:c r="F15" s="33" t="str">
        <x:v>P2</x:v>
      </x:c>
      <x:c r="G15" s="33" t="str">
        <x:v>Chạy load/soak, matrix browser/mobile và recovery drill.</x:v>
      </x:c>
      <x:c r="H15" s="33" t="str">
        <x:v>QA / DevOps owner</x:v>
      </x:c>
    </x:row>
  </x:sheetData>
  <x:mergeCells>
    <x:mergeCell ref="A1:H1"/>
    <x:mergeCell ref="A3:H3"/>
  </x:mergeCells>
  <x:conditionalFormatting sqref="D6:D15">
    <x:cfRule type="containsText" dxfId="14" priority="1" operator="containsText" text="FAIL"/>
    <x:cfRule type="containsText" dxfId="15" priority="2" operator="containsText" text="OPEN"/>
    <x:cfRule type="containsText" dxfId="16" priority="3" operator="containsText" text="NOT RUN"/>
  </x:conditionalFormatting>
  <x:pageMargins left="0.7" right="0.7" top="0.75" bottom="0.75" header="0.3" footer="0.3"/>
  <x:tableParts count="1">
    <x:tablePart xmlns:r="http://schemas.openxmlformats.org/officeDocument/2006/relationships" r:id="R27b7e22848ee4f3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56" hidden="0" customWidth="1"/>
    <x:col min="3" max="3" width="24" hidden="0" customWidth="1"/>
    <x:col min="4" max="4" width="46" hidden="0" customWidth="1"/>
    <x:col min="5" max="5" width="54" hidden="0" customWidth="1"/>
  </x:cols>
  <x:sheetData>
    <x:row r="1">
      <x:c r="A1" s="1" t="str">
        <x:v>ShoeGroup - Sources &amp; Method</x:v>
      </x:c>
      <x:c r="B1" s="1"/>
      <x:c r="C1" s="1"/>
      <x:c r="D1" s="1"/>
      <x:c r="E1" s="1"/>
    </x:row>
    <x:row r="2">
      <x:c r="A2" s="10"/>
      <x:c r="B2" s="10"/>
      <x:c r="C2" s="10"/>
      <x:c r="D2" s="10"/>
      <x:c r="E2" s="10"/>
    </x:row>
    <x:row r="3">
      <x:c r="A3" s="43" t="str">
        <x:v>Workbook created from existing evidence to avoid repeating expensive integration tests. Any new execution should update Status, Actual / Evidence, Executor and Evidence Date.</x:v>
      </x:c>
      <x:c r="B3" s="43"/>
      <x:c r="C3" s="43"/>
      <x:c r="D3" s="43"/>
      <x:c r="E3" s="43"/>
    </x:row>
    <x:row r="4">
      <x:c r="A4" s="10"/>
      <x:c r="B4" s="10"/>
      <x:c r="C4" s="10"/>
      <x:c r="D4" s="10"/>
      <x:c r="E4" s="10"/>
    </x:row>
    <x:row r="5">
      <x:c r="A5" s="44" t="str">
        <x:v>Source Type</x:v>
      </x:c>
      <x:c r="B5" s="44" t="str">
        <x:v>Path / Command</x:v>
      </x:c>
      <x:c r="C5" s="44" t="str">
        <x:v>Evidence Date</x:v>
      </x:c>
      <x:c r="D5" s="44" t="str">
        <x:v>Coverage</x:v>
      </x:c>
      <x:c r="E5" s="44" t="str">
        <x:v>Use in Workbook</x:v>
      </x:c>
    </x:row>
    <x:row r="6" ht="48" customHeight="1">
      <x:c r="A6" s="32" t="str">
        <x:v>Primary audit</x:v>
      </x:c>
      <x:c r="B6" s="32" t="str">
        <x:v>docs/audit/AUDIT-2026-09-09.md</x:v>
      </x:c>
      <x:c r="C6" s="32" t="str">
        <x:v>2026-09-09</x:v>
      </x:c>
      <x:c r="D6" s="32" t="str">
        <x:v>Scope, 34 feature audit, 65 runtime, 26 unit, 5 UI, 7 gaps, bugs 028-033</x:v>
      </x:c>
      <x:c r="E6" s="32" t="str">
        <x:v>Historical evidence; PASS is not re-executed here.</x:v>
      </x:c>
    </x:row>
    <x:row r="7" ht="48" customHeight="1">
      <x:c r="A7" s="33" t="str">
        <x:v>Integration evidence</x:v>
      </x:c>
      <x:c r="B7" s="33" t="str">
        <x:v>docs/audit/runtime-results.json</x:v>
      </x:c>
      <x:c r="C7" s="33" t="str">
        <x:v>2026-09-09</x:v>
      </x:c>
      <x:c r="D7" s="33" t="str">
        <x:v>T01-T24 variants (30 rows)</x:v>
      </x:c>
      <x:c r="E7" s="33" t="str">
        <x:v>HTTP + SQL fixture on port 5100.</x:v>
      </x:c>
    </x:row>
    <x:row r="8" ht="48" customHeight="1">
      <x:c r="A8" s="33" t="str">
        <x:v>Return/revenue evidence</x:v>
      </x:c>
      <x:c r="B8" s="33" t="str">
        <x:v>docs/audit/extended-results.json</x:v>
      </x:c>
      <x:c r="C8" s="33" t="str">
        <x:v>2026-09-09</x:v>
      </x:c>
      <x:c r="D8" s="33" t="str">
        <x:v>R01-R14</x:v>
      </x:c>
      <x:c r="E8" s="33" t="str">
        <x:v>Returns, wallet credit, revenue, integrity.</x:v>
      </x:c>
    </x:row>
    <x:row r="9" ht="48" customHeight="1">
      <x:c r="A9" s="33" t="str">
        <x:v>Boundary evidence</x:v>
      </x:c>
      <x:c r="B9" s="33" t="str">
        <x:v>docs/audit/boundary-results.json</x:v>
      </x:c>
      <x:c r="C9" s="33" t="str">
        <x:v>2026-09-09</x:v>
      </x:c>
      <x:c r="D9" s="33" t="str">
        <x:v>B01-B12</x:v>
      </x:c>
      <x:c r="E9" s="33" t="str">
        <x:v>Concurrency, stale versions, payment/coupon boundaries.</x:v>
      </x:c>
    </x:row>
    <x:row r="10" ht="48" customHeight="1">
      <x:c r="A10" s="33" t="str">
        <x:v>Scheduler evidence</x:v>
      </x:c>
      <x:c r="B10" s="33" t="str">
        <x:v>docs/audit/jobs-results.json</x:v>
      </x:c>
      <x:c r="C10" s="33" t="str">
        <x:v>2026-09-09</x:v>
      </x:c>
      <x:c r="D10" s="33" t="str">
        <x:v>J01-J05</x:v>
      </x:c>
      <x:c r="E10" s="33" t="str">
        <x:v>Expiry, revenue job, idempotent scheduler.</x:v>
      </x:c>
    </x:row>
    <x:row r="11" ht="48" customHeight="1">
      <x:c r="A11" s="33" t="str">
        <x:v>Known gaps</x:v>
      </x:c>
      <x:c r="B11" s="33" t="str">
        <x:v>docs/audit/known-gaps-results.json</x:v>
      </x:c>
      <x:c r="C11" s="33" t="str">
        <x:v>2026-09-09</x:v>
      </x:c>
      <x:c r="D11" s="33" t="str">
        <x:v>G01-G04</x:v>
      </x:c>
      <x:c r="E11" s="33" t="str">
        <x:v>Known failures retained as FAIL.</x:v>
      </x:c>
    </x:row>
    <x:row r="12" ht="48" customHeight="1">
      <x:c r="A12" s="33" t="str">
        <x:v>Frontend tests</x:v>
      </x:c>
      <x:c r="B12" s="33" t="str">
        <x:v>test/frontend-audit.test.cjs</x:v>
      </x:c>
      <x:c r="C12" s="33" t="str">
        <x:v>2026-09-09 / current workspace</x:v>
      </x:c>
      <x:c r="D12" s="33" t="str">
        <x:v>U01-U11 and image behavior cases</x:v>
      </x:c>
      <x:c r="E12" s="33" t="str">
        <x:v>node:test; VM/SFC module tests.</x:v>
      </x:c>
    </x:row>
    <x:row r="13" ht="48" customHeight="1">
      <x:c r="A13" s="33" t="str">
        <x:v>Backend tests</x:v>
      </x:c>
      <x:c r="B13" s="33" t="str">
        <x:v>backend/test/*.test.cjs</x:v>
      </x:c>
      <x:c r="C13" s="33" t="str">
        <x:v>2026-09-09 / current workspace</x:v>
      </x:c>
      <x:c r="D13" s="33" t="str">
        <x:v>U12-U26 and security/validation/payment tests</x:v>
      </x:c>
      <x:c r="E13" s="33" t="str">
        <x:v>node:test; handler/integration-oriented tests.</x:v>
      </x:c>
    </x:row>
    <x:row r="14" ht="48" customHeight="1">
      <x:c r="A14" s="33" t="str">
        <x:v>Current verification</x:v>
      </x:c>
      <x:c r="B14" s="33" t="str">
        <x:v>npm test; npm --prefix backend test; npm run build</x:v>
      </x:c>
      <x:c r="C14" s="33" t="str">
        <x:v>2026-09-15</x:v>
      </x:c>
      <x:c r="D14" s="33" t="str">
        <x:v>14/14 frontend suite, 15/15 backend suite, build PASS</x:v>
      </x:c>
      <x:c r="E14" s="33" t="str">
        <x:v>Executed in the cleaned workspace before workbook creation.</x:v>
      </x:c>
    </x:row>
  </x:sheetData>
  <x:mergeCells>
    <x:mergeCell ref="A1:E1"/>
    <x:mergeCell ref="A3:E3"/>
  </x:mergeCells>
  <x:pageMargins left="0.7" right="0.7" top="0.75" bottom="0.75" header="0.3" footer="0.3"/>
  <x:tableParts count="1">
    <x:tablePart xmlns:r="http://schemas.openxmlformats.org/officeDocument/2006/relationships" r:id="R036fe3e8b1294fdd"/>
  </x:tableParts>
</x:worksheet>
</file>